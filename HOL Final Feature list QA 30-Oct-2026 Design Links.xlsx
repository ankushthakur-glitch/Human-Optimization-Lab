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hidden" r:id="rId1"/>
    <sheet name="Deviation 30-10-2026" sheetId="2" state="visible" r:id="rId2"/>
    <sheet name="Portal Deviation" sheetId="3" state="visible" r:id="rId3"/>
    <sheet name="Super Admin Portal  Hol Portal" sheetId="4" state="visible" r:id="rId4"/>
    <sheet name="Physician Portal  Provider port" sheetId="5" state="visible" r:id="rId5"/>
    <sheet name="Patient App" sheetId="6" state="visible" r:id="rId6"/>
    <sheet name="Shared Backend Layers" sheetId="7" state="visible" r:id="rId7"/>
    <sheet name="Coach Portal" sheetId="8" state="visible" r:id="rId8"/>
    <sheet name="Integrations" sheetId="9" state="visible" r:id="rId9"/>
    <sheet name="EHR Integration" sheetId="10" state="visible" r:id="rId10"/>
  </sheets>
  <definedNames>
    <definedName name="Z_5E59022B_DA42_4E33_95CD_61F1846C479E_.wvu.FilterData" localSheetId="4" hidden="1">'Physician Portal  Provider port'!$A$2:$H$159</definedName>
    <definedName name="_xlnm._FilterDatabase" localSheetId="4" hidden="1">'Physician Portal  Provider port'!$A$2:$H$159</definedName>
  </definedNames>
  <calcPr calcId="124519" fullCalcOnLoad="1"/>
</workbook>
</file>

<file path=xl/styles.xml><?xml version="1.0" encoding="utf-8"?>
<styleSheet xmlns="http://schemas.openxmlformats.org/spreadsheetml/2006/main">
  <numFmts count="2">
    <numFmt numFmtId="164" formatCode="#,##0;(#,##0);&quot;-&quot;"/>
    <numFmt numFmtId="165" formatCode="0.0%;(0.0%);&quot;-&quot;"/>
  </numFmts>
  <fonts count="28">
    <font>
      <name val="Calibri"/>
      <color theme="1"/>
      <sz val="11"/>
      <scheme val="minor"/>
    </font>
    <font>
      <name val="Calibri"/>
      <b val="1"/>
      <color theme="1"/>
      <sz val="13"/>
      <scheme val="minor"/>
    </font>
    <font>
      <name val="Calibri"/>
      <b val="1"/>
      <color theme="1"/>
      <scheme val="minor"/>
    </font>
    <font>
      <name val="Calibri"/>
      <b val="1"/>
      <color theme="1"/>
      <sz val="12"/>
    </font>
    <font>
      <name val="Arial"/>
      <b val="1"/>
      <color theme="1"/>
      <sz val="11"/>
    </font>
    <font>
      <name val="Calibri"/>
      <color theme="1"/>
      <scheme val="minor"/>
    </font>
    <font>
      <name val="Arial"/>
      <b val="1"/>
      <color rgb="FFFFFFFF"/>
      <sz val="11"/>
    </font>
    <font/>
    <font>
      <name val="Arial"/>
      <color theme="1"/>
      <sz val="11"/>
    </font>
    <font>
      <name val="Calibri"/>
      <color rgb="FF0000FF"/>
      <scheme val="minor"/>
    </font>
    <font>
      <name val="Calibri"/>
      <color theme="1"/>
      <sz val="11"/>
    </font>
    <font>
      <name val="Calibri"/>
      <b val="1"/>
      <color rgb="FF0000FF"/>
      <sz val="12"/>
      <u val="single"/>
    </font>
    <font>
      <name val="Calibri"/>
      <b val="1"/>
      <color rgb="FFFFFFFF"/>
      <sz val="12"/>
    </font>
    <font>
      <name val="Calibri"/>
      <color theme="1"/>
      <sz val="12"/>
    </font>
    <font>
      <name val="Arial"/>
      <color theme="1"/>
    </font>
    <font>
      <name val="Calibri"/>
      <color rgb="FF0000FF"/>
      <sz val="12"/>
      <u val="single"/>
    </font>
    <font>
      <name val="Calibri"/>
      <i val="1"/>
      <color theme="1"/>
      <sz val="9"/>
      <scheme val="minor"/>
    </font>
    <font>
      <name val="Calibri"/>
      <color rgb="FF0000FF"/>
      <sz val="12"/>
      <u val="single"/>
    </font>
    <font>
      <name val="Calibri"/>
      <color rgb="FF000000"/>
      <sz val="12"/>
    </font>
    <font>
      <name val="Calibri"/>
      <color rgb="FF0563C1"/>
      <sz val="12"/>
      <u val="single"/>
    </font>
    <font>
      <name val="Calibri"/>
      <color rgb="FF0563C1"/>
      <sz val="12"/>
      <u val="single"/>
    </font>
    <font>
      <name val="Arial"/>
      <b val="1"/>
      <color rgb="FFFFFFFF"/>
    </font>
    <font>
      <name val="Arial"/>
      <color rgb="FF5F5E5A"/>
      <sz val="9"/>
    </font>
    <font>
      <name val="Arial"/>
      <b val="1"/>
      <color theme="1"/>
      <sz val="10"/>
    </font>
    <font>
      <name val="Arial"/>
      <color theme="1"/>
      <sz val="10"/>
    </font>
    <font>
      <color rgb="FF0000FF"/>
      <u val="single"/>
    </font>
    <font>
      <color rgb="FF0000FF"/>
      <u val="single"/>
    </font>
    <font>
      <name val="Calibri"/>
      <b val="1"/>
      <color rgb="FFFF0000"/>
      <scheme val="minor"/>
    </font>
  </fonts>
  <fills count="10">
    <fill>
      <patternFill/>
    </fill>
    <fill>
      <patternFill patternType="lightGray"/>
    </fill>
    <fill>
      <patternFill patternType="solid">
        <fgColor rgb="FFA3C2F4"/>
        <bgColor rgb="FFA3C2F4"/>
      </patternFill>
    </fill>
    <fill>
      <patternFill patternType="solid">
        <fgColor rgb="FFD9EAD3"/>
        <bgColor rgb="FFD9EAD3"/>
      </patternFill>
    </fill>
    <fill>
      <patternFill patternType="solid">
        <fgColor rgb="FFA4C2F4"/>
        <bgColor rgb="FFA4C2F4"/>
      </patternFill>
    </fill>
    <fill>
      <patternFill patternType="solid">
        <fgColor rgb="FF999999"/>
        <bgColor rgb="FF999999"/>
      </patternFill>
    </fill>
    <fill>
      <patternFill patternType="solid">
        <fgColor rgb="FFFFFFFF"/>
        <bgColor rgb="FFFFFFFF"/>
      </patternFill>
    </fill>
    <fill>
      <patternFill patternType="solid">
        <fgColor rgb="FFEEEEEE"/>
        <bgColor rgb="FFEEEEEE"/>
      </patternFill>
    </fill>
    <fill>
      <patternFill patternType="solid">
        <fgColor rgb="FFF4CCCC"/>
        <bgColor rgb="FFF4CCCC"/>
      </patternFill>
    </fill>
    <fill>
      <patternFill patternType="solid">
        <fgColor rgb="FF808080"/>
        <bgColor rgb="FF808080"/>
      </patternFill>
    </fill>
  </fills>
  <borders count="12">
    <border/>
    <border>
      <left style="thin">
        <color rgb="FFBEBEBE"/>
      </left>
      <right style="thin">
        <color rgb="FFBEBEBE"/>
      </right>
      <top style="thin">
        <color rgb="FFBEBEBE"/>
      </top>
      <bottom style="thin">
        <color rgb="FFBEBEBE"/>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rder>
  </borders>
  <cellStyleXfs count="1">
    <xf numFmtId="0" fontId="0" fillId="0" borderId="0"/>
  </cellStyleXfs>
  <cellXfs count="157">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vertical="center" wrapText="1"/>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1" pivotButton="0" quotePrefix="0" xfId="0"/>
    <xf numFmtId="0" fontId="3" fillId="3" borderId="2" applyAlignment="1" pivotButton="0" quotePrefix="0" xfId="0">
      <alignment horizontal="center" vertical="center" wrapText="1"/>
    </xf>
    <xf numFmtId="0" fontId="5" fillId="0" borderId="2" pivotButton="0" quotePrefix="0" xfId="0"/>
    <xf numFmtId="0" fontId="4" fillId="4" borderId="2" applyAlignment="1" pivotButton="0" quotePrefix="0" xfId="0">
      <alignment horizontal="center" vertical="center" wrapText="1"/>
    </xf>
    <xf numFmtId="0" fontId="5" fillId="0" borderId="2" applyAlignment="1" pivotButton="0" quotePrefix="0" xfId="0">
      <alignment horizontal="left" vertical="center"/>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5" fillId="0" borderId="2" applyAlignment="1" pivotButton="0" quotePrefix="0" xfId="0">
      <alignment vertical="center"/>
    </xf>
    <xf numFmtId="0" fontId="6" fillId="5" borderId="3" applyAlignment="1" pivotButton="0" quotePrefix="0" xfId="0">
      <alignment horizontal="left" vertical="center"/>
    </xf>
    <xf numFmtId="0" fontId="5" fillId="0" borderId="2" pivotButton="0" quotePrefix="0" xfId="0"/>
    <xf numFmtId="0" fontId="7" fillId="0" borderId="4" pivotButton="0" quotePrefix="0" xfId="0"/>
    <xf numFmtId="0" fontId="5" fillId="0" borderId="2" applyAlignment="1" pivotButton="0" quotePrefix="0" xfId="0">
      <alignment horizontal="left" vertical="center" wrapText="1"/>
    </xf>
    <xf numFmtId="0" fontId="7" fillId="0" borderId="5" pivotButton="0" quotePrefix="0" xfId="0"/>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164" fontId="5" fillId="0" borderId="1" applyAlignment="1" pivotButton="0" quotePrefix="0" xfId="0">
      <alignment horizontal="center"/>
    </xf>
    <xf numFmtId="0" fontId="5" fillId="0" borderId="2" applyAlignment="1" pivotButton="0" quotePrefix="0" xfId="0">
      <alignment vertical="center" wrapText="1"/>
    </xf>
    <xf numFmtId="0" fontId="8" fillId="6" borderId="2" applyAlignment="1" pivotButton="0" quotePrefix="0" xfId="0">
      <alignment horizontal="center" vertical="center" wrapText="1"/>
    </xf>
    <xf numFmtId="164" fontId="9" fillId="0" borderId="1" applyAlignment="1" pivotButton="0" quotePrefix="0" xfId="0">
      <alignment horizontal="center"/>
    </xf>
    <xf numFmtId="0" fontId="8" fillId="6" borderId="2" applyAlignment="1" pivotButton="0" quotePrefix="0" xfId="0">
      <alignment horizontal="left" vertical="center" wrapText="1"/>
    </xf>
    <xf numFmtId="0" fontId="10" fillId="0" borderId="2" applyAlignment="1" pivotButton="0" quotePrefix="0" xfId="0">
      <alignment horizontal="center" vertical="center"/>
    </xf>
    <xf numFmtId="0" fontId="11" fillId="4" borderId="2" applyAlignment="1" pivotButton="0" quotePrefix="0" xfId="0">
      <alignment horizontal="center" vertical="center" wrapText="1"/>
    </xf>
    <xf numFmtId="0" fontId="3" fillId="4" borderId="2" applyAlignment="1" pivotButton="0" quotePrefix="0" xfId="0">
      <alignment horizontal="center" vertical="center" wrapText="1"/>
    </xf>
    <xf numFmtId="0" fontId="5" fillId="0" borderId="2" applyAlignment="1" pivotButton="0" quotePrefix="0" xfId="0">
      <alignment horizontal="center" vertical="center" wrapText="1"/>
    </xf>
    <xf numFmtId="49" fontId="12" fillId="5" borderId="3" applyAlignment="1" pivotButton="0" quotePrefix="0" xfId="0">
      <alignment horizontal="center" vertical="center" wrapText="1"/>
    </xf>
    <xf numFmtId="0" fontId="13" fillId="5" borderId="2" applyAlignment="1" pivotButton="0" quotePrefix="0" xfId="0">
      <alignment horizontal="center" vertical="center" wrapText="1"/>
    </xf>
    <xf numFmtId="0" fontId="13" fillId="5" borderId="2" applyAlignment="1" pivotButton="0" quotePrefix="0" xfId="0">
      <alignment horizontal="left" vertical="center" wrapText="1"/>
    </xf>
    <xf numFmtId="0" fontId="14" fillId="0" borderId="2" applyAlignment="1" pivotButton="0" quotePrefix="0" xfId="0">
      <alignment vertical="center"/>
    </xf>
    <xf numFmtId="0" fontId="13" fillId="0" borderId="2" applyAlignment="1" pivotButton="0" quotePrefix="0" xfId="0">
      <alignment horizontal="center" vertical="center" wrapTex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13" fillId="6" borderId="2" applyAlignment="1" pivotButton="0" quotePrefix="0" xfId="0">
      <alignment horizontal="center" vertical="center" wrapText="1"/>
    </xf>
    <xf numFmtId="0" fontId="5" fillId="0" borderId="2" applyAlignment="1" pivotButton="0" quotePrefix="0" xfId="0">
      <alignment vertical="center"/>
    </xf>
    <xf numFmtId="0" fontId="15" fillId="0" borderId="2" applyAlignment="1" pivotButton="0" quotePrefix="0" xfId="0">
      <alignment horizontal="center" vertical="center" wrapText="1"/>
    </xf>
    <xf numFmtId="165" fontId="5" fillId="0" borderId="1" applyAlignment="1" pivotButton="0" quotePrefix="0" xfId="0">
      <alignment horizontal="center"/>
    </xf>
    <xf numFmtId="0" fontId="13" fillId="6" borderId="2" applyAlignment="1" pivotButton="0" quotePrefix="0" xfId="0">
      <alignment horizontal="center" vertical="center" wrapText="1"/>
    </xf>
    <xf numFmtId="0" fontId="5" fillId="0" borderId="2" applyAlignment="1" pivotButton="0" quotePrefix="0" xfId="0">
      <alignment vertical="center" wrapText="1"/>
    </xf>
    <xf numFmtId="0" fontId="5" fillId="0" borderId="2" applyAlignment="1" pivotButton="0" quotePrefix="0" xfId="0">
      <alignment horizontal="left" vertical="top" wrapText="1"/>
    </xf>
    <xf numFmtId="0" fontId="5" fillId="0" borderId="2" applyAlignment="1" pivotButton="0" quotePrefix="0" xfId="0">
      <alignment horizontal="center" vertical="top" wrapText="1"/>
    </xf>
    <xf numFmtId="0" fontId="5" fillId="0" borderId="2" applyAlignment="1" pivotButton="0" quotePrefix="0" xfId="0">
      <alignment vertical="top" wrapText="1"/>
    </xf>
    <xf numFmtId="0" fontId="13" fillId="0" borderId="2" applyAlignment="1" pivotButton="0" quotePrefix="0" xfId="0">
      <alignment horizontal="center" vertical="center" wrapText="1"/>
    </xf>
    <xf numFmtId="0" fontId="5" fillId="0" borderId="2" applyAlignment="1" pivotButton="0" quotePrefix="0" xfId="0">
      <alignment horizontal="left" vertical="top"/>
    </xf>
    <xf numFmtId="9" fontId="5" fillId="0" borderId="1" applyAlignment="1" pivotButton="0" quotePrefix="0" xfId="0">
      <alignment horizontal="center"/>
    </xf>
    <xf numFmtId="0" fontId="5" fillId="0" borderId="2" applyAlignment="1" pivotButton="0" quotePrefix="0" xfId="0">
      <alignment horizontal="left" vertical="top"/>
    </xf>
    <xf numFmtId="0" fontId="5" fillId="0" borderId="2" applyAlignment="1" pivotButton="0" quotePrefix="0" xfId="0">
      <alignment horizontal="center" vertical="top"/>
    </xf>
    <xf numFmtId="0" fontId="5" fillId="0" borderId="2" applyAlignment="1" pivotButton="0" quotePrefix="0" xfId="0">
      <alignment vertical="top"/>
    </xf>
    <xf numFmtId="0" fontId="5" fillId="0" borderId="2" applyAlignment="1" pivotButton="0" quotePrefix="0" xfId="0">
      <alignment horizontal="center" vertical="top" wrapText="1"/>
    </xf>
    <xf numFmtId="0" fontId="2" fillId="7" borderId="1" pivotButton="0" quotePrefix="0" xfId="0"/>
    <xf numFmtId="164" fontId="2" fillId="7" borderId="1" applyAlignment="1" pivotButton="0" quotePrefix="0" xfId="0">
      <alignment horizontal="center"/>
    </xf>
    <xf numFmtId="165" fontId="2" fillId="7" borderId="1" applyAlignment="1" pivotButton="0" quotePrefix="0" xfId="0">
      <alignment horizontal="center"/>
    </xf>
    <xf numFmtId="0" fontId="16" fillId="0" borderId="0" pivotButton="0" quotePrefix="0" xfId="0"/>
    <xf numFmtId="0" fontId="13" fillId="3" borderId="2" applyAlignment="1" pivotButton="0" quotePrefix="0" xfId="0">
      <alignment horizontal="center" vertical="center" wrapText="1"/>
    </xf>
    <xf numFmtId="0" fontId="5" fillId="0" borderId="2" applyAlignment="1" pivotButton="0" quotePrefix="0" xfId="0">
      <alignment vertical="top" wrapText="1"/>
    </xf>
    <xf numFmtId="49" fontId="13" fillId="0" borderId="2" applyAlignment="1" pivotButton="0" quotePrefix="0" xfId="0">
      <alignment horizontal="center" vertical="center" wrapText="1"/>
    </xf>
    <xf numFmtId="0" fontId="5" fillId="0" borderId="2" applyAlignment="1" pivotButton="0" quotePrefix="0" xfId="0">
      <alignment horizontal="left" vertical="top" wrapText="1"/>
    </xf>
    <xf numFmtId="49" fontId="13" fillId="0" borderId="2" applyAlignment="1" pivotButton="0" quotePrefix="0" xfId="0">
      <alignment horizontal="left" vertical="center" wrapText="1"/>
    </xf>
    <xf numFmtId="0" fontId="3"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2" applyAlignment="1" pivotButton="0" quotePrefix="0" xfId="0">
      <alignment horizontal="center" vertical="center" wrapText="1"/>
    </xf>
    <xf numFmtId="0" fontId="17" fillId="8" borderId="2" applyAlignment="1" pivotButton="0" quotePrefix="0" xfId="0">
      <alignment horizontal="center" vertical="center" wrapText="1"/>
    </xf>
    <xf numFmtId="0" fontId="12" fillId="5" borderId="3" applyAlignment="1" pivotButton="0" quotePrefix="0" xfId="0">
      <alignment horizontal="center" vertical="center" wrapText="1"/>
    </xf>
    <xf numFmtId="0" fontId="13" fillId="6" borderId="2" applyAlignment="1" pivotButton="0" quotePrefix="0" xfId="0">
      <alignment horizontal="left" vertical="center" wrapText="1"/>
    </xf>
    <xf numFmtId="0" fontId="13" fillId="6" borderId="2" applyAlignment="1" pivotButton="0" quotePrefix="0" xfId="0">
      <alignment horizontal="center" vertical="center" wrapText="1"/>
    </xf>
    <xf numFmtId="0" fontId="13" fillId="0" borderId="2" applyAlignment="1" pivotButton="0" quotePrefix="0" xfId="0">
      <alignment horizontal="center" vertical="center" wrapText="1"/>
    </xf>
    <xf numFmtId="0" fontId="18" fillId="0" borderId="2" applyAlignment="1" pivotButton="0" quotePrefix="0" xfId="0">
      <alignment horizontal="center" vertical="center" wrapText="1"/>
    </xf>
    <xf numFmtId="49" fontId="5" fillId="0" borderId="2" applyAlignment="1" pivotButton="0" quotePrefix="0" xfId="0">
      <alignment horizontal="center" vertical="center" wrapText="1"/>
    </xf>
    <xf numFmtId="0" fontId="12" fillId="5" borderId="3" applyAlignment="1" pivotButton="0" quotePrefix="0" xfId="0">
      <alignment horizontal="center" vertical="center" wrapText="1"/>
    </xf>
    <xf numFmtId="0" fontId="13" fillId="6" borderId="2" applyAlignment="1" pivotButton="0" quotePrefix="0" xfId="0">
      <alignment horizontal="center" vertical="center" wrapText="1"/>
    </xf>
    <xf numFmtId="0" fontId="18" fillId="6" borderId="2" applyAlignment="1" pivotButton="0" quotePrefix="0" xfId="0">
      <alignment horizontal="left" vertical="center" wrapText="1"/>
    </xf>
    <xf numFmtId="0" fontId="13" fillId="6" borderId="2" applyAlignment="1" pivotButton="0" quotePrefix="0" xfId="0">
      <alignment horizontal="center" vertical="center" wrapText="1"/>
    </xf>
    <xf numFmtId="0" fontId="19" fillId="0" borderId="2" applyAlignment="1" pivotButton="0" quotePrefix="0" xfId="0">
      <alignment horizontal="center" vertical="center" wrapText="1"/>
    </xf>
    <xf numFmtId="0" fontId="20" fillId="0" borderId="2" applyAlignment="1" pivotButton="0" quotePrefix="0" xfId="0">
      <alignment horizontal="center" vertical="center" wrapText="1"/>
    </xf>
    <xf numFmtId="0" fontId="13" fillId="5" borderId="2" applyAlignment="1" pivotButton="0" quotePrefix="0" xfId="0">
      <alignment horizontal="center" vertical="center" wrapText="1"/>
    </xf>
    <xf numFmtId="0" fontId="13" fillId="5" borderId="2" applyAlignment="1" pivotButton="0" quotePrefix="0" xfId="0">
      <alignment horizontal="left" vertical="center" wrapText="1"/>
    </xf>
    <xf numFmtId="0" fontId="13" fillId="5" borderId="2" applyAlignment="1" pivotButton="0" quotePrefix="0" xfId="0">
      <alignment horizontal="center" vertical="center" wrapText="1"/>
    </xf>
    <xf numFmtId="0" fontId="3" fillId="0" borderId="2" applyAlignment="1" pivotButton="0" quotePrefix="0" xfId="0">
      <alignment horizontal="center" vertical="center" wrapText="1"/>
    </xf>
    <xf numFmtId="0" fontId="3" fillId="6" borderId="2" applyAlignment="1" pivotButton="0" quotePrefix="0" xfId="0">
      <alignment horizontal="center" vertical="center" wrapText="1"/>
    </xf>
    <xf numFmtId="0" fontId="13" fillId="6" borderId="2" applyAlignment="1" pivotButton="0" quotePrefix="0" xfId="0">
      <alignment horizontal="left" vertical="center" wrapText="1"/>
    </xf>
    <xf numFmtId="0" fontId="4" fillId="3" borderId="2" applyAlignment="1" pivotButton="0" quotePrefix="0" xfId="0">
      <alignment horizontal="center" vertical="center" wrapText="1"/>
    </xf>
    <xf numFmtId="0" fontId="6" fillId="5" borderId="5" applyAlignment="1" pivotButton="0" quotePrefix="0" xfId="0">
      <alignment horizontal="left" vertical="center"/>
    </xf>
    <xf numFmtId="0" fontId="13" fillId="6" borderId="2" applyAlignment="1" pivotButton="0" quotePrefix="0" xfId="0">
      <alignment horizontal="center" vertical="center" wrapText="1"/>
    </xf>
    <xf numFmtId="0" fontId="10" fillId="5" borderId="2" applyAlignment="1" pivotButton="0" quotePrefix="0" xfId="0">
      <alignment vertical="center"/>
    </xf>
    <xf numFmtId="0" fontId="10" fillId="5" borderId="2" applyAlignment="1" pivotButton="0" quotePrefix="0" xfId="0">
      <alignment horizontal="center" vertical="center"/>
    </xf>
    <xf numFmtId="0" fontId="8" fillId="0" borderId="2" applyAlignment="1" pivotButton="0" quotePrefix="0" xfId="0">
      <alignment horizontal="center" vertical="center" wrapText="1"/>
    </xf>
    <xf numFmtId="0" fontId="8" fillId="0" borderId="2" applyAlignment="1" pivotButton="0" quotePrefix="0" xfId="0">
      <alignment vertical="center" wrapText="1"/>
    </xf>
    <xf numFmtId="0" fontId="14"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18" fillId="6" borderId="2" applyAlignment="1" pivotButton="0" quotePrefix="0" xfId="0">
      <alignment horizontal="center" vertical="center" wrapText="1"/>
    </xf>
    <xf numFmtId="0" fontId="18" fillId="6" borderId="2" applyAlignment="1" pivotButton="0" quotePrefix="0" xfId="0">
      <alignment horizontal="center" vertical="center" wrapText="1"/>
    </xf>
    <xf numFmtId="0" fontId="13" fillId="0" borderId="2" applyAlignment="1" pivotButton="0" quotePrefix="0" xfId="0">
      <alignment horizontal="left" vertical="center" wrapText="1"/>
    </xf>
    <xf numFmtId="0" fontId="14" fillId="0" borderId="2" applyAlignment="1" pivotButton="0" quotePrefix="0" xfId="0">
      <alignment vertical="center" wrapText="1"/>
    </xf>
    <xf numFmtId="0" fontId="5" fillId="0" borderId="2"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2" applyAlignment="1" pivotButton="0" quotePrefix="0" xfId="0">
      <alignment horizontal="left" vertical="center" wrapText="1"/>
    </xf>
    <xf numFmtId="0" fontId="3" fillId="0" borderId="2" applyAlignment="1" pivotButton="0" quotePrefix="0" xfId="0">
      <alignment horizontal="center" vertical="center" wrapText="1"/>
    </xf>
    <xf numFmtId="0" fontId="6" fillId="5" borderId="3" applyAlignment="1" pivotButton="0" quotePrefix="0" xfId="0">
      <alignment horizontal="left" vertical="center" wrapText="1"/>
    </xf>
    <xf numFmtId="49" fontId="12" fillId="5" borderId="2" applyAlignment="1" pivotButton="0" quotePrefix="0" xfId="0">
      <alignment horizontal="center" vertical="center" wrapText="1"/>
    </xf>
    <xf numFmtId="0" fontId="10" fillId="0" borderId="2" applyAlignment="1" pivotButton="0" quotePrefix="0" xfId="0">
      <alignment horizontal="center" vertical="center"/>
    </xf>
    <xf numFmtId="0" fontId="13"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10" fillId="5" borderId="2" applyAlignment="1" pivotButton="0" quotePrefix="0" xfId="0">
      <alignment vertical="center"/>
    </xf>
    <xf numFmtId="0" fontId="21" fillId="9" borderId="3" applyAlignment="1" pivotButton="0" quotePrefix="0" xfId="0">
      <alignment vertical="center"/>
    </xf>
    <xf numFmtId="0" fontId="21" fillId="9" borderId="4" applyAlignment="1" pivotButton="0" quotePrefix="0" xfId="0">
      <alignment vertical="center"/>
    </xf>
    <xf numFmtId="0" fontId="21" fillId="9" borderId="5" applyAlignment="1" pivotButton="0" quotePrefix="0" xfId="0">
      <alignment vertical="center"/>
    </xf>
    <xf numFmtId="0" fontId="6" fillId="5" borderId="5" applyAlignment="1" pivotButton="0" quotePrefix="0" xfId="0">
      <alignment horizontal="left" vertical="center" wrapText="1"/>
    </xf>
    <xf numFmtId="0" fontId="22" fillId="3" borderId="3" applyAlignment="1" pivotButton="0" quotePrefix="0" xfId="0">
      <alignment horizontal="left" vertical="center" wrapText="1"/>
    </xf>
    <xf numFmtId="0" fontId="22" fillId="3" borderId="4" applyAlignment="1" pivotButton="0" quotePrefix="0" xfId="0">
      <alignment horizontal="left" vertical="center" wrapText="1"/>
    </xf>
    <xf numFmtId="0" fontId="22" fillId="3" borderId="5" applyAlignment="1" pivotButton="0" quotePrefix="0" xfId="0">
      <alignment horizontal="left" vertical="center" wrapText="1"/>
    </xf>
    <xf numFmtId="0" fontId="23" fillId="4" borderId="2" applyAlignment="1" pivotButton="0" quotePrefix="0" xfId="0">
      <alignment horizontal="center" vertical="center" wrapText="1"/>
    </xf>
    <xf numFmtId="0" fontId="23" fillId="4"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6" borderId="2" applyAlignment="1" pivotButton="0" quotePrefix="0" xfId="0">
      <alignment horizontal="left" vertical="center" wrapText="1"/>
    </xf>
    <xf numFmtId="0" fontId="24" fillId="6" borderId="2" applyAlignment="1" pivotButton="0" quotePrefix="0" xfId="0">
      <alignment horizontal="left" vertical="center" wrapText="1"/>
    </xf>
    <xf numFmtId="0" fontId="2" fillId="4" borderId="2" applyAlignment="1" pivotButton="0" quotePrefix="0" xfId="0">
      <alignment horizontal="center"/>
    </xf>
    <xf numFmtId="0" fontId="2" fillId="4" borderId="2" applyAlignment="1" pivotButton="0" quotePrefix="0" xfId="0">
      <alignment horizontal="center"/>
    </xf>
    <xf numFmtId="0" fontId="23" fillId="6" borderId="2" applyAlignment="1" pivotButton="0" quotePrefix="0" xfId="0">
      <alignment horizontal="center" vertical="center" wrapText="1"/>
    </xf>
    <xf numFmtId="0" fontId="2" fillId="4" borderId="2" pivotButton="0" quotePrefix="0" xfId="0"/>
    <xf numFmtId="0" fontId="24" fillId="6" borderId="2" applyAlignment="1" pivotButton="0" quotePrefix="0" xfId="0">
      <alignment horizontal="left" vertical="center" wrapText="1"/>
    </xf>
    <xf numFmtId="0" fontId="24" fillId="6" borderId="2" applyAlignment="1" pivotButton="0" quotePrefix="0" xfId="0">
      <alignment horizontal="center" vertical="center" wrapText="1"/>
    </xf>
    <xf numFmtId="0" fontId="5" fillId="0" borderId="2" applyAlignment="1" pivotButton="0" quotePrefix="0" xfId="0">
      <alignment horizontal="center"/>
    </xf>
    <xf numFmtId="0" fontId="25" fillId="0" borderId="2" applyAlignment="1" pivotButton="0" quotePrefix="0" xfId="0">
      <alignment horizontal="center"/>
    </xf>
    <xf numFmtId="0" fontId="5" fillId="0" borderId="2" applyAlignment="1" pivotButton="0" quotePrefix="0" xfId="0">
      <alignment horizontal="center"/>
    </xf>
    <xf numFmtId="0" fontId="26" fillId="0" borderId="2" pivotButton="0" quotePrefix="0" xfId="0"/>
    <xf numFmtId="0" fontId="5" fillId="0" borderId="6" applyAlignment="1" pivotButton="0" quotePrefix="0" xfId="0">
      <alignment vertical="center"/>
    </xf>
    <xf numFmtId="0" fontId="5" fillId="0" borderId="2" pivotButton="0" quotePrefix="0" xfId="0"/>
    <xf numFmtId="0" fontId="5" fillId="0" borderId="2" applyAlignment="1" pivotButton="0" quotePrefix="0" xfId="0">
      <alignment horizontal="center"/>
    </xf>
    <xf numFmtId="0" fontId="14" fillId="0" borderId="2" applyAlignment="1" pivotButton="0" quotePrefix="0" xfId="0">
      <alignment horizontal="center" vertical="bottom"/>
    </xf>
    <xf numFmtId="0" fontId="7" fillId="0" borderId="7" pivotButton="0" quotePrefix="0" xfId="0"/>
    <xf numFmtId="0" fontId="7" fillId="0" borderId="8" pivotButton="0" quotePrefix="0" xfId="0"/>
    <xf numFmtId="0" fontId="3" fillId="6" borderId="2" applyAlignment="1" pivotButton="0" quotePrefix="0" xfId="0">
      <alignment horizontal="center" vertical="center" wrapText="1"/>
    </xf>
    <xf numFmtId="0" fontId="5" fillId="0" borderId="6" pivotButton="0" quotePrefix="0" xfId="0"/>
    <xf numFmtId="0" fontId="5" fillId="0" borderId="2" pivotButton="0" quotePrefix="0" xfId="0"/>
    <xf numFmtId="0" fontId="27" fillId="0" borderId="3" pivotButton="0" quotePrefix="0" xfId="0"/>
    <xf numFmtId="0" fontId="5" fillId="0" borderId="2" applyAlignment="1" pivotButton="0" quotePrefix="0" xfId="0">
      <alignment wrapText="1"/>
    </xf>
    <xf numFmtId="0" fontId="5" fillId="0" borderId="0" applyAlignment="1" pivotButton="0" quotePrefix="0" xfId="0">
      <alignment horizontal="center"/>
    </xf>
    <xf numFmtId="0" fontId="5" fillId="0" borderId="0" applyAlignment="1" pivotButton="0" quotePrefix="0" xfId="0">
      <alignment horizontal="center"/>
    </xf>
    <xf numFmtId="0" fontId="0" fillId="0" borderId="0" pivotButton="0" quotePrefix="0" xfId="0"/>
    <xf numFmtId="0" fontId="6" fillId="5" borderId="2" applyAlignment="1" pivotButton="0" quotePrefix="0" xfId="0">
      <alignment horizontal="left" vertical="center"/>
    </xf>
    <xf numFmtId="0" fontId="0" fillId="0" borderId="4" pivotButton="0" quotePrefix="0" xfId="0"/>
    <xf numFmtId="0" fontId="0" fillId="0" borderId="5" pivotButton="0" quotePrefix="0" xfId="0"/>
    <xf numFmtId="0" fontId="17" fillId="0" borderId="2" applyAlignment="1" pivotButton="0" quotePrefix="0" xfId="0">
      <alignment horizontal="center" vertical="center" wrapText="1"/>
    </xf>
    <xf numFmtId="0" fontId="13" fillId="8" borderId="2" applyAlignment="1" pivotButton="0" quotePrefix="0" xfId="0">
      <alignment horizontal="center" vertical="center" wrapText="1"/>
    </xf>
    <xf numFmtId="0" fontId="17" fillId="0" borderId="0" pivotButton="0" quotePrefix="0" xfId="0"/>
    <xf numFmtId="0" fontId="17" fillId="6" borderId="2" applyAlignment="1" pivotButton="0" quotePrefix="0" xfId="0">
      <alignment horizontal="center" vertical="center" wrapText="1"/>
    </xf>
    <xf numFmtId="0" fontId="12" fillId="5" borderId="2" applyAlignment="1" pivotButton="0" quotePrefix="0" xfId="0">
      <alignment horizontal="center" vertical="center" wrapText="1"/>
    </xf>
    <xf numFmtId="0" fontId="6" fillId="5" borderId="2" applyAlignment="1" pivotButton="0" quotePrefix="0" xfId="0">
      <alignment horizontal="left" vertical="center" wrapText="1"/>
    </xf>
    <xf numFmtId="0" fontId="0" fillId="0" borderId="7" pivotButton="0" quotePrefix="0" xfId="0"/>
    <xf numFmtId="0" fontId="0" fillId="0" borderId="8" pivotButton="0" quotePrefix="0" xfId="0"/>
    <xf numFmtId="0" fontId="27" fillId="0" borderId="2" pivotButton="0" quotePrefix="0" xfId="0"/>
  </cellXfs>
  <cellStyles count="1">
    <cellStyle name="Normal" xfId="0" builtinId="0"/>
  </cellStyles>
  <dxfs count="8">
    <dxf>
      <font/>
      <fill>
        <patternFill/>
      </fill>
      <border/>
    </dxf>
    <dxf>
      <font/>
      <fill>
        <patternFill patternType="solid">
          <fgColor rgb="FF999999"/>
          <bgColor rgb="FF999999"/>
        </patternFill>
      </fill>
      <border/>
    </dxf>
    <dxf>
      <font>
        <b val="1"/>
        <color rgb="FFFFFFFF"/>
      </font>
      <fill>
        <patternFill patternType="solid">
          <fgColor rgb="FF1F3863"/>
          <bgColor rgb="FF1F3863"/>
        </patternFill>
      </fill>
      <border/>
    </dxf>
    <dxf>
      <font>
        <b val="1"/>
        <color rgb="FF1F3863"/>
      </font>
      <fill>
        <patternFill patternType="solid">
          <fgColor rgb="FFD9E0F1"/>
          <bgColor rgb="FFD9E0F1"/>
        </patternFill>
      </fill>
      <border/>
    </dxf>
    <dxf>
      <font>
        <b val="1"/>
      </font>
      <fill>
        <patternFill patternType="solid">
          <fgColor rgb="FFD9EAD2"/>
          <bgColor rgb="FFD9EAD2"/>
        </patternFill>
      </fill>
      <border/>
    </dxf>
    <dxf>
      <font>
        <b val="1"/>
      </font>
      <fill>
        <patternFill patternType="solid">
          <fgColor rgb="FFFFF1CC"/>
          <bgColor rgb="FFFFF1CC"/>
        </patternFill>
      </fill>
      <border/>
    </dxf>
    <dxf>
      <font>
        <b val="1"/>
      </font>
      <fill>
        <patternFill patternType="solid">
          <fgColor rgb="FFF4CCCC"/>
          <bgColor rgb="FFF4CCCC"/>
        </patternFill>
      </fill>
      <border/>
    </dxf>
    <dxf>
      <font>
        <b val="1"/>
      </font>
      <fill>
        <patternFill patternType="solid">
          <fgColor rgb="FFEEEEEE"/>
          <bgColor rgb="FFEEEEEE"/>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None</author>
  </authors>
  <commentList>
    <comment ref="F13" authorId="0" shapeId="0">
      <text>
        <t>Delta = current Modified FE/BE on the portal tab minus 18 Sep FE/BE for the same features. 18 Sep: Biomarker definitions 4/6, Alert rules 4/6 = 8/12. Source: Deviation _ HOL_Final Feature list QA- 18 Sep 2026.xlsx</t>
      </text>
    </comment>
    <comment ref="G13" authorId="0" shapeId="0">
      <text>
        <t>18 Sep BE: 6 + 6 = 12</t>
      </text>
    </comment>
    <comment ref="F14" authorId="0" shapeId="0">
      <text>
        <t>18 Sep: Tenant admin 2/4. (The 18 Sep feature-list PDF shows 4/6 — change the -2 / -4 in this formula if that is the true baseline.)</t>
      </text>
    </comment>
    <comment ref="G14" authorId="0" shapeId="0">
      <text>
        <t>18 Sep BE: 4</t>
      </text>
    </comment>
    <comment ref="F15" authorId="0" shapeId="0">
      <text>
        <t>18 Sep: Refunds &amp; adjustments 2/4, Billing reports 2/4 = 4/8</t>
      </text>
    </comment>
    <comment ref="G15" authorId="0" shapeId="0">
      <text>
        <t>18 Sep BE: 4 + 4 = 8</t>
      </text>
    </comment>
    <comment ref="F36" authorId="0" shapeId="0">
      <text>
        <t>18 Sep: Alert volume 2/4</t>
      </text>
    </comment>
    <comment ref="G36" authorId="0" shapeId="0">
      <text>
        <t>18 Sep BE: 4</t>
      </text>
    </comment>
    <comment ref="F37" authorId="0" shapeId="0">
      <text>
        <t>18 Sep: Patient list 4/6</t>
      </text>
    </comment>
    <comment ref="G37" authorId="0" shapeId="0">
      <text>
        <t>18 Sep BE: 6</t>
      </text>
    </comment>
    <comment ref="F38" authorId="0" shapeId="0">
      <text>
        <t>18 Sep: Appointments view 2/2</t>
      </text>
    </comment>
    <comment ref="G38" authorId="0" shapeId="0">
      <text>
        <t>18 Sep BE: 2</t>
      </text>
    </comment>
    <comment ref="F39" authorId="0" shapeId="0">
      <text>
        <t>18 Sep: Trends &amp; flags 8/8, sticky notes 6/6 = 14/14</t>
      </text>
    </comment>
    <comment ref="G39" authorId="0" shapeId="0">
      <text>
        <t>18 Sep BE: 8 + 6 = 14</t>
      </text>
    </comment>
    <comment ref="F40" authorId="0" shapeId="0">
      <text>
        <t>18 Sep: Practice Invoices 2/2</t>
      </text>
    </comment>
    <comment ref="G40" authorId="0" shapeId="0">
      <text>
        <t>18 Sep BE: 2</t>
      </text>
    </comment>
    <comment ref="F59" authorId="0" shapeId="0">
      <text>
        <t>18 Sep: AI usage &amp; overage 8/4</t>
      </text>
    </comment>
    <comment ref="G59" authorId="0" shapeId="0">
      <text>
        <t>18 Sep BE: 4</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r.no/" TargetMode="External" Id="rId1" /><Relationship Type="http://schemas.openxmlformats.org/officeDocument/2006/relationships/hyperlink" Target="https://human-optimization-lab.vercel.app/screens/login/invite-email" TargetMode="External" Id="rId2" /><Relationship Type="http://schemas.openxmlformats.org/officeDocument/2006/relationships/hyperlink" Target="https://human-optimization-lab.vercel.app/screens/login/activate" TargetMode="External" Id="rId3" /><Relationship Type="http://schemas.openxmlformats.org/officeDocument/2006/relationships/hyperlink" Target="https://human-optimization-lab.vercel.app/screens/login/two-factor-setup" TargetMode="External" Id="rId4" /><Relationship Type="http://schemas.openxmlformats.org/officeDocument/2006/relationships/hyperlink" Target="https://human-optimization-lab.vercel.app/screens/login" TargetMode="External" Id="rId5" /><Relationship Type="http://schemas.openxmlformats.org/officeDocument/2006/relationships/hyperlink" Target="https://human-optimization-lab.vercel.app/screens/login/verify" TargetMode="External" Id="rId6" /><Relationship Type="http://schemas.openxmlformats.org/officeDocument/2006/relationships/hyperlink" Target="https://human-optimization-lab.vercel.app/screens/login/forgot-password" TargetMode="External" Id="rId7" /><Relationship Type="http://schemas.openxmlformats.org/officeDocument/2006/relationships/hyperlink" Target="https://human-optimization-lab.vercel.app/screens/admin/dashboard" TargetMode="External" Id="rId8" /><Relationship Type="http://schemas.openxmlformats.org/officeDocument/2006/relationships/hyperlink" Target="https://human-optimization-lab.vercel.app/screens/admin/dashboard" TargetMode="External" Id="rId9" /><Relationship Type="http://schemas.openxmlformats.org/officeDocument/2006/relationships/hyperlink" Target="https://human-optimization-lab.vercel.app/screens/admin/dashboard" TargetMode="External" Id="rId10" /><Relationship Type="http://schemas.openxmlformats.org/officeDocument/2006/relationships/hyperlink" Target="https://human-optimization-lab.vercel.app/screens/admin/dashboard?region=Arizona" TargetMode="External" Id="rId11" /><Relationship Type="http://schemas.openxmlformats.org/officeDocument/2006/relationships/hyperlink" Target="https://human-optimization-lab.vercel.app/screens/admin/dashboard" TargetMode="External" Id="rId12" /><Relationship Type="http://schemas.openxmlformats.org/officeDocument/2006/relationships/hyperlink" Target="https://human-optimization-lab.vercel.app/screens/admin/dashboard" TargetMode="External" Id="rId13" /><Relationship Type="http://schemas.openxmlformats.org/officeDocument/2006/relationships/hyperlink" Target="https://human-optimization-lab.vercel.app/screens/admin/dashboard" TargetMode="External" Id="rId14" /><Relationship Type="http://schemas.openxmlformats.org/officeDocument/2006/relationships/hyperlink" Target="https://human-optimization-lab.vercel.app/screens/admin/dashboard" TargetMode="External" Id="rId15" /><Relationship Type="http://schemas.openxmlformats.org/officeDocument/2006/relationships/hyperlink" Target="https://human-optimization-lab.vercel.app/screens/admin/dashboard" TargetMode="External" Id="rId16" /><Relationship Type="http://schemas.openxmlformats.org/officeDocument/2006/relationships/hyperlink" Target="https://human-optimization-lab.vercel.app/screens/admin/dashboard" TargetMode="External" Id="rId17" /><Relationship Type="http://schemas.openxmlformats.org/officeDocument/2006/relationships/hyperlink" Target="https://human-optimization-lab.vercel.app/screens/admin/settings" TargetMode="External" Id="rId18" /><Relationship Type="http://schemas.openxmlformats.org/officeDocument/2006/relationships/hyperlink" Target="https://human-optimization-lab.vercel.app/screens/admin/settings/clinical/biomarkers" TargetMode="External" Id="rId19" /><Relationship Type="http://schemas.openxmlformats.org/officeDocument/2006/relationships/hyperlink" Target="https://human-optimization-lab.vercel.app/screens/admin/settings/clinical/ranges" TargetMode="External" Id="rId20" /><Relationship Type="http://schemas.openxmlformats.org/officeDocument/2006/relationships/hyperlink" Target="https://human-optimization-lab.vercel.app/screens/admin/settings/clinical/ranges" TargetMode="External" Id="rId21" /><Relationship Type="http://schemas.openxmlformats.org/officeDocument/2006/relationships/hyperlink" Target="https://human-optimization-lab.vercel.app/screens/admin/settings/clinical/sex-age" TargetMode="External" Id="rId22" /><Relationship Type="http://schemas.openxmlformats.org/officeDocument/2006/relationships/hyperlink" Target="https://human-optimization-lab.vercel.app/screens/admin/settings/clinical/sex-age" TargetMode="External" Id="rId23" /><Relationship Type="http://schemas.openxmlformats.org/officeDocument/2006/relationships/hyperlink" Target="https://human-optimization-lab.vercel.app/screens/admin/settings/rules/alerts" TargetMode="External" Id="rId24" /><Relationship Type="http://schemas.openxmlformats.org/officeDocument/2006/relationships/hyperlink" Target="https://human-optimization-lab.vercel.app/screens/admin/settings/rules/alerts" TargetMode="External" Id="rId25" /><Relationship Type="http://schemas.openxmlformats.org/officeDocument/2006/relationships/hyperlink" Target="https://human-optimization-lab.vercel.app/screens/admin/settings/rules/cases" TargetMode="External" Id="rId26" /><Relationship Type="http://schemas.openxmlformats.org/officeDocument/2006/relationships/hyperlink" Target="https://human-optimization-lab.vercel.app/screens/admin/settings/rules/cases" TargetMode="External" Id="rId27" /><Relationship Type="http://schemas.openxmlformats.org/officeDocument/2006/relationships/hyperlink" Target="https://human-optimization-lab.vercel.app/screens/admin/settings" TargetMode="External" Id="rId28" /><Relationship Type="http://schemas.openxmlformats.org/officeDocument/2006/relationships/hyperlink" Target="https://human-optimization-lab.vercel.app/screens/admin/settings/ai/credit" TargetMode="External" Id="rId29" /><Relationship Type="http://schemas.openxmlformats.org/officeDocument/2006/relationships/hyperlink" Target="https://human-optimization-lab.vercel.app/screens/admin/settings/partners/list" TargetMode="External" Id="rId30" /><Relationship Type="http://schemas.openxmlformats.org/officeDocument/2006/relationships/hyperlink" Target="https://human-optimization-lab.vercel.app/screens/admin/settings/partners/list" TargetMode="External" Id="rId31" /><Relationship Type="http://schemas.openxmlformats.org/officeDocument/2006/relationships/hyperlink" Target="https://human-optimization-lab.vercel.app/screens/admin/settings/security/audit-log" TargetMode="External" Id="rId32" /><Relationship Type="http://schemas.openxmlformats.org/officeDocument/2006/relationships/hyperlink" Target="https://human-optimization-lab.vercel.app/screens/admin/practices" TargetMode="External" Id="rId33" /><Relationship Type="http://schemas.openxmlformats.org/officeDocument/2006/relationships/hyperlink" Target="https://human-optimization-lab.vercel.app/screens/admin/practices?new=1" TargetMode="External" Id="rId34" /><Relationship Type="http://schemas.openxmlformats.org/officeDocument/2006/relationships/hyperlink" Target="https://human-optimization-lab.vercel.app/screens/admin/practices/593892" TargetMode="External" Id="rId35" /><Relationship Type="http://schemas.openxmlformats.org/officeDocument/2006/relationships/hyperlink" Target="https://human-optimization-lab.vercel.app/screens/admin/practices/593892" TargetMode="External" Id="rId36" /><Relationship Type="http://schemas.openxmlformats.org/officeDocument/2006/relationships/hyperlink" Target="https://human-optimization-lab.vercel.app/screens/admin/practices/593892?tab=providers" TargetMode="External" Id="rId37" /><Relationship Type="http://schemas.openxmlformats.org/officeDocument/2006/relationships/hyperlink" Target="https://human-optimization-lab.vercel.app/screens/admin/settings/billing/catalogue" TargetMode="External" Id="rId38" /><Relationship Type="http://schemas.openxmlformats.org/officeDocument/2006/relationships/hyperlink" Target="https://human-optimization-lab.vercel.app/screens/admin/billing" TargetMode="External" Id="rId39" /><Relationship Type="http://schemas.openxmlformats.org/officeDocument/2006/relationships/hyperlink" Target="https://human-optimization-lab.vercel.app/screens/admin/settings/pricing/membership" TargetMode="External" Id="rId40" /><Relationship Type="http://schemas.openxmlformats.org/officeDocument/2006/relationships/hyperlink" Target="https://human-optimization-lab.vercel.app/screens/admin/settings/billing/catalogue" TargetMode="External" Id="rId41" /><Relationship Type="http://schemas.openxmlformats.org/officeDocument/2006/relationships/hyperlink" Target="https://human-optimization-lab.vercel.app/screens/admin/settings/billing/catalogue" TargetMode="External" Id="rId42" /><Relationship Type="http://schemas.openxmlformats.org/officeDocument/2006/relationships/hyperlink" Target="https://human-optimization-lab.vercel.app/screens/admin/settings/pricing/membership" TargetMode="External" Id="rId43" /><Relationship Type="http://schemas.openxmlformats.org/officeDocument/2006/relationships/hyperlink" Target="https://human-optimization-lab.vercel.app/screens/admin/practices/593892" TargetMode="External" Id="rId44" /><Relationship Type="http://schemas.openxmlformats.org/officeDocument/2006/relationships/hyperlink" Target="https://human-optimization-lab.vercel.app/screens/admin/billing?tab=invoices" TargetMode="External" Id="rId45" /><Relationship Type="http://schemas.openxmlformats.org/officeDocument/2006/relationships/hyperlink" Target="https://human-optimization-lab.vercel.app/screens/admin/billing?tab=invoices" TargetMode="External" Id="rId46" /><Relationship Type="http://schemas.openxmlformats.org/officeDocument/2006/relationships/hyperlink" Target="https://human-optimization-lab.vercel.app/screens/admin/reports?report=ai-usage" TargetMode="External" Id="rId47" /><Relationship Type="http://schemas.openxmlformats.org/officeDocument/2006/relationships/hyperlink" Target="https://human-optimization-lab.vercel.app/screens/admin/reports" TargetMode="External" Id="rId48" /><Relationship Type="http://schemas.openxmlformats.org/officeDocument/2006/relationships/hyperlink" Target="https://human-optimization-lab.vercel.app/screens/admin/settings/rules/cases" TargetMode="External" Id="rId49" /></Relationships>
</file>

<file path=xl/worksheets/_rels/sheet5.xml.rels><Relationships xmlns="http://schemas.openxmlformats.org/package/2006/relationships"><Relationship Type="http://schemas.openxmlformats.org/officeDocument/2006/relationships/hyperlink" Target="http://sr.no/" TargetMode="External" Id="rId1" /><Relationship Type="http://schemas.openxmlformats.org/officeDocument/2006/relationships/hyperlink" Target="https://human-optimization-lab.vercel.app/screens/login?as=provider" TargetMode="External" Id="rId2" /><Relationship Type="http://schemas.openxmlformats.org/officeDocument/2006/relationships/hyperlink" Target="https://human-optimization-lab.vercel.app/screens/admin/practices?new=1" TargetMode="External" Id="rId3" /><Relationship Type="http://schemas.openxmlformats.org/officeDocument/2006/relationships/hyperlink" Target="https://human-optimization-lab.vercel.app/screens/login/invite-email?as=provider" TargetMode="External" Id="rId4" /><Relationship Type="http://schemas.openxmlformats.org/officeDocument/2006/relationships/hyperlink" Target="https://human-optimization-lab.vercel.app/screens/login/activate?as=provider" TargetMode="External" Id="rId5" /><Relationship Type="http://schemas.openxmlformats.org/officeDocument/2006/relationships/hyperlink" Target="https://human-optimization-lab.vercel.app/screens/login/two-factor-setup?as=provider" TargetMode="External" Id="rId6" /><Relationship Type="http://schemas.openxmlformats.org/officeDocument/2006/relationships/hyperlink" Target="https://human-optimization-lab.vercel.app/screens/login/forgot-password?as=provider" TargetMode="External" Id="rId7" /><Relationship Type="http://schemas.openxmlformats.org/officeDocument/2006/relationships/hyperlink" Target="https://human-optimization-lab.vercel.app/screens/patients/dashboard" TargetMode="External" Id="rId8" /><Relationship Type="http://schemas.openxmlformats.org/officeDocument/2006/relationships/hyperlink" Target="https://human-optimization-lab.vercel.app/screens/patients/dashboard?tab=all" TargetMode="External" Id="rId9" /><Relationship Type="http://schemas.openxmlformats.org/officeDocument/2006/relationships/hyperlink" Target="https://human-optimization-lab.vercel.app/screens/patients/dashboard" TargetMode="External" Id="rId10" /><Relationship Type="http://schemas.openxmlformats.org/officeDocument/2006/relationships/hyperlink" Target="https://human-optimization-lab.vercel.app/screens/patients/dashboard" TargetMode="External" Id="rId11" /><Relationship Type="http://schemas.openxmlformats.org/officeDocument/2006/relationships/hyperlink" Target="https://human-optimization-lab.vercel.app/screens/patients/dashboard" TargetMode="External" Id="rId12" /><Relationship Type="http://schemas.openxmlformats.org/officeDocument/2006/relationships/hyperlink" Target="https://human-optimization-lab.vercel.app/screens/patients" TargetMode="External" Id="rId13" /><Relationship Type="http://schemas.openxmlformats.org/officeDocument/2006/relationships/hyperlink" Target="https://human-optimization-lab.vercel.app/screens/patients/dashboard?tab=all" TargetMode="External" Id="rId14" /><Relationship Type="http://schemas.openxmlformats.org/officeDocument/2006/relationships/hyperlink" Target="https://human-optimization-lab.vercel.app/screens/patients/dashboard?tab=all" TargetMode="External" Id="rId15" /><Relationship Type="http://schemas.openxmlformats.org/officeDocument/2006/relationships/hyperlink" Target="https://human-optimization-lab.vercel.app/screens/patients/new" TargetMode="External" Id="rId16" /><Relationship Type="http://schemas.openxmlformats.org/officeDocument/2006/relationships/hyperlink" Target="https://human-optimization-lab.vercel.app/screens/patients/new" TargetMode="External" Id="rId17" /><Relationship Type="http://schemas.openxmlformats.org/officeDocument/2006/relationships/hyperlink" Target="https://human-optimization-lab.vercel.app/screens/patients/new" TargetMode="External" Id="rId18" /><Relationship Type="http://schemas.openxmlformats.org/officeDocument/2006/relationships/hyperlink" Target="https://human-optimization-lab.vercel.app/screens/patients/P10240/edit" TargetMode="External" Id="rId19" /><Relationship Type="http://schemas.openxmlformats.org/officeDocument/2006/relationships/hyperlink" Target="https://human-optimization-lab.vercel.app/screens/patients?import=1" TargetMode="External" Id="rId20" /><Relationship Type="http://schemas.openxmlformats.org/officeDocument/2006/relationships/hyperlink" Target="https://human-optimization-lab.vercel.app/screens/patients?import=1" TargetMode="External" Id="rId21" /><Relationship Type="http://schemas.openxmlformats.org/officeDocument/2006/relationships/hyperlink" Target="https://human-optimization-lab.vercel.app/screens/patients/new" TargetMode="External" Id="rId22" /><Relationship Type="http://schemas.openxmlformats.org/officeDocument/2006/relationships/hyperlink" Target="https://human-optimization-lab.vercel.app/screens/patients?record=Sync%20failed" TargetMode="External" Id="rId23" /><Relationship Type="http://schemas.openxmlformats.org/officeDocument/2006/relationships/hyperlink" Target="https://human-optimization-lab.vercel.app/screens/patients" TargetMode="External" Id="rId24" /><Relationship Type="http://schemas.openxmlformats.org/officeDocument/2006/relationships/hyperlink" Target="https://human-optimization-lab.vercel.app/screens/patients/tasks" TargetMode="External" Id="rId25" /><Relationship Type="http://schemas.openxmlformats.org/officeDocument/2006/relationships/hyperlink" Target="https://human-optimization-lab.vercel.app/screens/patients/tasks" TargetMode="External" Id="rId26" /><Relationship Type="http://schemas.openxmlformats.org/officeDocument/2006/relationships/hyperlink" Target="https://human-optimization-lab.vercel.app/screens/patients/tasks" TargetMode="External" Id="rId27" /><Relationship Type="http://schemas.openxmlformats.org/officeDocument/2006/relationships/hyperlink" Target="https://human-optimization-lab.vercel.app/screens/patients/tasks" TargetMode="External" Id="rId28" /><Relationship Type="http://schemas.openxmlformats.org/officeDocument/2006/relationships/hyperlink" Target="https://human-optimization-lab.vercel.app/screens/patients/tasks?new=1" TargetMode="External" Id="rId29" /><Relationship Type="http://schemas.openxmlformats.org/officeDocument/2006/relationships/hyperlink" Target="https://human-optimization-lab.vercel.app/screens/patients/schedule" TargetMode="External" Id="rId30" /><Relationship Type="http://schemas.openxmlformats.org/officeDocument/2006/relationships/hyperlink" Target="https://human-optimization-lab.vercel.app/screens/patients/schedule" TargetMode="External" Id="rId31" /><Relationship Type="http://schemas.openxmlformats.org/officeDocument/2006/relationships/hyperlink" Target="https://human-optimization-lab.vercel.app/screens/patients/schedule" TargetMode="External" Id="rId32" /><Relationship Type="http://schemas.openxmlformats.org/officeDocument/2006/relationships/hyperlink" Target="https://human-optimization-lab.vercel.app/screens/patients/schedule" TargetMode="External" Id="rId33" /><Relationship Type="http://schemas.openxmlformats.org/officeDocument/2006/relationships/hyperlink" Target="https://human-optimization-lab.vercel.app/screens/patients/communication" TargetMode="External" Id="rId34" /><Relationship Type="http://schemas.openxmlformats.org/officeDocument/2006/relationships/hyperlink" Target="https://human-optimization-lab.vercel.app/screens/patients/communication" TargetMode="External" Id="rId35" /><Relationship Type="http://schemas.openxmlformats.org/officeDocument/2006/relationships/hyperlink" Target="https://human-optimization-lab.vercel.app/screens/patients/communication" TargetMode="External" Id="rId36" /><Relationship Type="http://schemas.openxmlformats.org/officeDocument/2006/relationships/hyperlink" Target="https://human-optimization-lab.vercel.app/screens/patients/communication" TargetMode="External" Id="rId37" /><Relationship Type="http://schemas.openxmlformats.org/officeDocument/2006/relationships/hyperlink" Target="https://human-optimization-lab.vercel.app/screens/patients/communication" TargetMode="External" Id="rId38" /><Relationship Type="http://schemas.openxmlformats.org/officeDocument/2006/relationships/hyperlink" Target="https://human-optimization-lab.vercel.app/screens/patients/communication" TargetMode="External" Id="rId39" /><Relationship Type="http://schemas.openxmlformats.org/officeDocument/2006/relationships/hyperlink" Target="https://human-optimization-lab.vercel.app/screens/patients/communication" TargetMode="External" Id="rId40" /><Relationship Type="http://schemas.openxmlformats.org/officeDocument/2006/relationships/hyperlink" Target="https://human-optimization-lab.vercel.app/screens/patients/communication" TargetMode="External" Id="rId41" /><Relationship Type="http://schemas.openxmlformats.org/officeDocument/2006/relationships/hyperlink" Target="https://human-optimization-lab.vercel.app/screens/patients/communication" TargetMode="External" Id="rId42" /><Relationship Type="http://schemas.openxmlformats.org/officeDocument/2006/relationships/hyperlink" Target="https://human-optimization-lab.vercel.app/screens/patients/reports" TargetMode="External" Id="rId43" /><Relationship Type="http://schemas.openxmlformats.org/officeDocument/2006/relationships/hyperlink" Target="https://human-optimization-lab.vercel.app/screens/patients/reports" TargetMode="External" Id="rId44" /><Relationship Type="http://schemas.openxmlformats.org/officeDocument/2006/relationships/hyperlink" Target="https://human-optimization-lab.vercel.app/screens/practice/reports?report=membership" TargetMode="External" Id="rId45" /><Relationship Type="http://schemas.openxmlformats.org/officeDocument/2006/relationships/hyperlink" Target="https://human-optimization-lab.vercel.app/screens/patients/reports" TargetMode="External" Id="rId46" /><Relationship Type="http://schemas.openxmlformats.org/officeDocument/2006/relationships/hyperlink" Target="https://human-optimization-lab.vercel.app/screens/patients/reports" TargetMode="External" Id="rId47" /><Relationship Type="http://schemas.openxmlformats.org/officeDocument/2006/relationships/hyperlink" Target="https://human-optimization-lab.vercel.app/screens/patients/P10240" TargetMode="External" Id="rId48" /><Relationship Type="http://schemas.openxmlformats.org/officeDocument/2006/relationships/hyperlink" Target="https://human-optimization-lab.vercel.app/screens/patients/P10240" TargetMode="External" Id="rId49" /><Relationship Type="http://schemas.openxmlformats.org/officeDocument/2006/relationships/hyperlink" Target="https://human-optimization-lab.vercel.app/screens/patients/P10240" TargetMode="External" Id="rId50" /><Relationship Type="http://schemas.openxmlformats.org/officeDocument/2006/relationships/hyperlink" Target="https://human-optimization-lab.vercel.app/screens/patients/P10240" TargetMode="External" Id="rId51" /><Relationship Type="http://schemas.openxmlformats.org/officeDocument/2006/relationships/hyperlink" Target="https://human-optimization-lab.vercel.app/screens/patients/P10240" TargetMode="External" Id="rId52" /><Relationship Type="http://schemas.openxmlformats.org/officeDocument/2006/relationships/hyperlink" Target="https://human-optimization-lab.vercel.app/screens/patients/P10240" TargetMode="External" Id="rId53" /><Relationship Type="http://schemas.openxmlformats.org/officeDocument/2006/relationships/hyperlink" Target="https://human-optimization-lab.vercel.app/screens/patients/P10240?section=overview" TargetMode="External" Id="rId54" /><Relationship Type="http://schemas.openxmlformats.org/officeDocument/2006/relationships/hyperlink" Target="https://human-optimization-lab.vercel.app/screens/patients/P10240?section=overview" TargetMode="External" Id="rId55" /><Relationship Type="http://schemas.openxmlformats.org/officeDocument/2006/relationships/hyperlink" Target="https://human-optimization-lab.vercel.app/screens/patients/P10240?section=overview&amp;tab=timeline" TargetMode="External" Id="rId56" /><Relationship Type="http://schemas.openxmlformats.org/officeDocument/2006/relationships/hyperlink" Target="https://human-optimization-lab.vercel.app/screens/patients/P10318?section=care-plan" TargetMode="External" Id="rId57" /><Relationship Type="http://schemas.openxmlformats.org/officeDocument/2006/relationships/hyperlink" Target="https://human-optimization-lab.vercel.app/screens/patients/P10318?section=care-plan&amp;tab=history" TargetMode="External" Id="rId58" /><Relationship Type="http://schemas.openxmlformats.org/officeDocument/2006/relationships/hyperlink" Target="https://human-optimization-lab.vercel.app/screens/patients/P10318?section=care-plan" TargetMode="External" Id="rId59" /><Relationship Type="http://schemas.openxmlformats.org/officeDocument/2006/relationships/hyperlink" Target="https://human-optimization-lab.vercel.app/screens/patients/P10240?section=encounters" TargetMode="External" Id="rId60" /><Relationship Type="http://schemas.openxmlformats.org/officeDocument/2006/relationships/hyperlink" Target="https://human-optimization-lab.vercel.app/screens/patients/P10240?section=encounters" TargetMode="External" Id="rId61" /><Relationship Type="http://schemas.openxmlformats.org/officeDocument/2006/relationships/hyperlink" Target="https://human-optimization-lab.vercel.app/screens/patients/P10240?section=encounters" TargetMode="External" Id="rId62" /><Relationship Type="http://schemas.openxmlformats.org/officeDocument/2006/relationships/hyperlink" Target="https://human-optimization-lab.vercel.app/screens/patients/P10240?section=appointments" TargetMode="External" Id="rId63" /><Relationship Type="http://schemas.openxmlformats.org/officeDocument/2006/relationships/hyperlink" Target="https://human-optimization-lab.vercel.app/screens/patients/P10240?section=diagnoses" TargetMode="External" Id="rId64" /><Relationship Type="http://schemas.openxmlformats.org/officeDocument/2006/relationships/hyperlink" Target="https://human-optimization-lab.vercel.app/screens/patients/P10240?section=diagnoses" TargetMode="External" Id="rId65" /><Relationship Type="http://schemas.openxmlformats.org/officeDocument/2006/relationships/hyperlink" Target="https://human-optimization-lab.vercel.app/screens/patients/P10240?section=medications" TargetMode="External" Id="rId66" /><Relationship Type="http://schemas.openxmlformats.org/officeDocument/2006/relationships/hyperlink" Target="https://human-optimization-lab.vercel.app/screens/patients/P10240?section=allergies" TargetMode="External" Id="rId67" /><Relationship Type="http://schemas.openxmlformats.org/officeDocument/2006/relationships/hyperlink" Target="https://human-optimization-lab.vercel.app/screens/patients/P10240?section=vitals" TargetMode="External" Id="rId68" /><Relationship Type="http://schemas.openxmlformats.org/officeDocument/2006/relationships/hyperlink" Target="https://human-optimization-lab.vercel.app/screens/patients/P10318?section=vitals&amp;tab=trends" TargetMode="External" Id="rId69" /><Relationship Type="http://schemas.openxmlformats.org/officeDocument/2006/relationships/hyperlink" Target="https://human-optimization-lab.vercel.app/screens/patients/P10240?section=vitals&amp;tab=table" TargetMode="External" Id="rId70" /><Relationship Type="http://schemas.openxmlformats.org/officeDocument/2006/relationships/hyperlink" Target="https://human-optimization-lab.vercel.app/screens/patients/P10240?section=labs" TargetMode="External" Id="rId71" /><Relationship Type="http://schemas.openxmlformats.org/officeDocument/2006/relationships/hyperlink" Target="https://human-optimization-lab.vercel.app/screens/patients/P10240?section=labs&amp;tab=orders" TargetMode="External" Id="rId72" /><Relationship Type="http://schemas.openxmlformats.org/officeDocument/2006/relationships/hyperlink" Target="https://human-optimization-lab.vercel.app/screens/patients/P10240?section=labs&amp;tab=orders" TargetMode="External" Id="rId73" /><Relationship Type="http://schemas.openxmlformats.org/officeDocument/2006/relationships/hyperlink" Target="https://human-optimization-lab.vercel.app/screens/patients/P10240?section=notes" TargetMode="External" Id="rId74" /><Relationship Type="http://schemas.openxmlformats.org/officeDocument/2006/relationships/hyperlink" Target="https://human-optimization-lab.vercel.app/screens/patients/P10240?section=family" TargetMode="External" Id="rId75" /><Relationship Type="http://schemas.openxmlformats.org/officeDocument/2006/relationships/hyperlink" Target="https://human-optimization-lab.vercel.app/screens/patients/P10240?section=profile" TargetMode="External" Id="rId76" /><Relationship Type="http://schemas.openxmlformats.org/officeDocument/2006/relationships/hyperlink" Target="https://human-optimization-lab.vercel.app/screens/patients/P10240?section=profile" TargetMode="External" Id="rId77" /><Relationship Type="http://schemas.openxmlformats.org/officeDocument/2006/relationships/hyperlink" Target="https://human-optimization-lab.vercel.app/screens/practice/billing?tab=invoices" TargetMode="External" Id="rId78" /><Relationship Type="http://schemas.openxmlformats.org/officeDocument/2006/relationships/hyperlink" Target="https://human-optimization-lab.vercel.app/screens/practice/billing/invoices/INV-202609-002" TargetMode="External" Id="rId79" /><Relationship Type="http://schemas.openxmlformats.org/officeDocument/2006/relationships/hyperlink" Target="https://human-optimization-lab.vercel.app/screens/patients/P10240?section=labs&amp;tab=orders" TargetMode="External" Id="rId80" /><Relationship Type="http://schemas.openxmlformats.org/officeDocument/2006/relationships/hyperlink" Target="https://human-optimization-lab.vercel.app/screens/patients/billing?tab=orders" TargetMode="External" Id="rId81" /><Relationship Type="http://schemas.openxmlformats.org/officeDocument/2006/relationships/hyperlink" Target="https://human-optimization-lab.vercel.app/screens/practice/users" TargetMode="External" Id="rId82" /><Relationship Type="http://schemas.openxmlformats.org/officeDocument/2006/relationships/hyperlink" Target="https://human-optimization-lab.vercel.app/screens/patients/settings/alerts/notifications" TargetMode="External" Id="rId83" /><Relationship Type="http://schemas.openxmlformats.org/officeDocument/2006/relationships/hyperlink" Target="https://human-optimization-lab.vercel.app/screens/patients/settings/account/flags" TargetMode="External" Id="rId84" /><Relationship Type="http://schemas.openxmlformats.org/officeDocument/2006/relationships/hyperlink" Target="https://human-optimization-lab.vercel.app/screens/patients/settings/alerts/notifications" TargetMode="External" Id="rId85" /><Relationship Type="http://schemas.openxmlformats.org/officeDocument/2006/relationships/hyperlink" Target="https://human-optimization-lab.vercel.app/screens/patients/settings/security/audit-log" TargetMode="External" Id="rId86" /><Relationship Type="http://schemas.openxmlformats.org/officeDocument/2006/relationships/hyperlink" Target="https://human-optimization-lab.vercel.app/screens/practice/dashboard" TargetMode="External" Id="rId87" /><Relationship Type="http://schemas.openxmlformats.org/officeDocument/2006/relationships/hyperlink" Target="https://human-optimization-lab.vercel.app/screens/practice/reports?report=encounters" TargetMode="External" Id="rId88" /><Relationship Type="http://schemas.openxmlformats.org/officeDocument/2006/relationships/hyperlink" Target="https://human-optimization-lab.vercel.app/screens/practice/reports?report=outcomes" TargetMode="External" Id="rId89" /><Relationship Type="http://schemas.openxmlformats.org/officeDocument/2006/relationships/hyperlink" Target="https://human-optimization-lab.vercel.app/screens/practice/reports?report=alerts" TargetMode="External" Id="rId90" /><Relationship Type="http://schemas.openxmlformats.org/officeDocument/2006/relationships/hyperlink" Target="https://human-optimization-lab.vercel.app/screens/practice/reports?report=value" TargetMode="External" Id="rId91" /><Relationship Type="http://schemas.openxmlformats.org/officeDocument/2006/relationships/hyperlink" Target="https://human-optimization-lab.vercel.app/screens/practice/users" TargetMode="External" Id="rId92" /><Relationship Type="http://schemas.openxmlformats.org/officeDocument/2006/relationships/hyperlink" Target="https://human-optimization-lab.vercel.app/screens/practice/users" TargetMode="External" Id="rId93" /><Relationship Type="http://schemas.openxmlformats.org/officeDocument/2006/relationships/hyperlink" Target="https://human-optimization-lab.vercel.app/screens/practice/users/providers/new" TargetMode="External" Id="rId94" /><Relationship Type="http://schemas.openxmlformats.org/officeDocument/2006/relationships/hyperlink" Target="https://human-optimization-lab.vercel.app/screens/practice/users/providers/PR3132" TargetMode="External" Id="rId95" /><Relationship Type="http://schemas.openxmlformats.org/officeDocument/2006/relationships/hyperlink" Target="https://human-optimization-lab.vercel.app/screens/practice/settings/security/import-history" TargetMode="External" Id="rId96" /><Relationship Type="http://schemas.openxmlformats.org/officeDocument/2006/relationships/hyperlink" Target="https://human-optimization-lab.vercel.app/screens/practice/users/providers/PR3132/edit" TargetMode="External" Id="rId97" /><Relationship Type="http://schemas.openxmlformats.org/officeDocument/2006/relationships/hyperlink" Target="https://human-optimization-lab.vercel.app/screens/practice/users?tab=staff" TargetMode="External" Id="rId98" /><Relationship Type="http://schemas.openxmlformats.org/officeDocument/2006/relationships/hyperlink" Target="https://human-optimization-lab.vercel.app/screens/practice/users?tab=staff&amp;new=1" TargetMode="External" Id="rId99" /><Relationship Type="http://schemas.openxmlformats.org/officeDocument/2006/relationships/hyperlink" Target="https://human-optimization-lab.vercel.app/screens/practice/locations" TargetMode="External" Id="rId100" /><Relationship Type="http://schemas.openxmlformats.org/officeDocument/2006/relationships/hyperlink" Target="https://human-optimization-lab.vercel.app/screens/practice/locations" TargetMode="External" Id="rId101" /><Relationship Type="http://schemas.openxmlformats.org/officeDocument/2006/relationships/hyperlink" Target="https://human-optimization-lab.vercel.app/screens/practice/locations/new" TargetMode="External" Id="rId102" /><Relationship Type="http://schemas.openxmlformats.org/officeDocument/2006/relationships/hyperlink" Target="https://human-optimization-lab.vercel.app/screens/practice/locations/LOC1001" TargetMode="External" Id="rId103" /><Relationship Type="http://schemas.openxmlformats.org/officeDocument/2006/relationships/hyperlink" Target="https://human-optimization-lab.vercel.app/screens/practice/locations/LOC1001/edit" TargetMode="External" Id="rId104" /><Relationship Type="http://schemas.openxmlformats.org/officeDocument/2006/relationships/hyperlink" Target="https://human-optimization-lab.vercel.app/screens/practice/settings/patients/flags" TargetMode="External" Id="rId105" /><Relationship Type="http://schemas.openxmlformats.org/officeDocument/2006/relationships/hyperlink" Target="https://human-optimization-lab.vercel.app/screens/practice/settings/employers/list" TargetMode="External" Id="rId106" /><Relationship Type="http://schemas.openxmlformats.org/officeDocument/2006/relationships/hyperlink" Target="https://human-optimization-lab.vercel.app/screens/practice/settings/invitations/channels" TargetMode="External" Id="rId107" /><Relationship Type="http://schemas.openxmlformats.org/officeDocument/2006/relationships/hyperlink" Target="https://human-optimization-lab.vercel.app/screens/practice/settings/invitations/reminders" TargetMode="External" Id="rId108" /><Relationship Type="http://schemas.openxmlformats.org/officeDocument/2006/relationships/hyperlink" Target="https://human-optimization-lab.vercel.app/screens/practice/settings/alerts/notifications" TargetMode="External" Id="rId109" /><Relationship Type="http://schemas.openxmlformats.org/officeDocument/2006/relationships/hyperlink" Target="https://human-optimization-lab.vercel.app/screens/practice/settings/security/audit-log" TargetMode="External" Id="rId110" /></Relationships>
</file>

<file path=xl/worksheets/_rels/sheet6.xml.rels><Relationships xmlns="http://schemas.openxmlformats.org/package/2006/relationships"><Relationship Type="http://schemas.openxmlformats.org/officeDocument/2006/relationships/hyperlink" Target="http://sr.no/" TargetMode="External" Id="rId1" /><Relationship Type="http://schemas.openxmlformats.org/officeDocument/2006/relationships/hyperlink" Target="https://human-optimization-lab.vercel.app/app/activate" TargetMode="External" Id="rId2" /><Relationship Type="http://schemas.openxmlformats.org/officeDocument/2006/relationships/hyperlink" Target="https://human-optimization-lab.vercel.app/app/activate" TargetMode="External" Id="rId3" /><Relationship Type="http://schemas.openxmlformats.org/officeDocument/2006/relationships/hyperlink" Target="https://human-optimization-lab.vercel.app/app/onboarding/about-you" TargetMode="External" Id="rId4" /><Relationship Type="http://schemas.openxmlformats.org/officeDocument/2006/relationships/hyperlink" Target="https://human-optimization-lab.vercel.app/app/sign-in" TargetMode="External" Id="rId5" /><Relationship Type="http://schemas.openxmlformats.org/officeDocument/2006/relationships/hyperlink" Target="https://human-optimization-lab.vercel.app/app/set-password" TargetMode="External" Id="rId6" /><Relationship Type="http://schemas.openxmlformats.org/officeDocument/2006/relationships/hyperlink" Target="https://human-optimization-lab.vercel.app/app/onboarding/about-you" TargetMode="External" Id="rId7" /><Relationship Type="http://schemas.openxmlformats.org/officeDocument/2006/relationships/hyperlink" Target="https://human-optimization-lab.vercel.app/app/onboarding/life" TargetMode="External" Id="rId8" /><Relationship Type="http://schemas.openxmlformats.org/officeDocument/2006/relationships/hyperlink" Target="https://human-optimization-lab.vercel.app/app/sign-in" TargetMode="External" Id="rId9" /><Relationship Type="http://schemas.openxmlformats.org/officeDocument/2006/relationships/hyperlink" Target="https://human-optimization-lab.vercel.app/app/profile" TargetMode="External" Id="rId10" /><Relationship Type="http://schemas.openxmlformats.org/officeDocument/2006/relationships/hyperlink" Target="https://human-optimization-lab.vercel.app/app/onboarding/consent" TargetMode="External" Id="rId11" /><Relationship Type="http://schemas.openxmlformats.org/officeDocument/2006/relationships/hyperlink" Target="https://human-optimization-lab.vercel.app/app/access" TargetMode="External" Id="rId12" /><Relationship Type="http://schemas.openxmlformats.org/officeDocument/2006/relationships/hyperlink" Target="https://human-optimization-lab.vercel.app/app/opportunities" TargetMode="External" Id="rId13" /><Relationship Type="http://schemas.openxmlformats.org/officeDocument/2006/relationships/hyperlink" Target="https://human-optimization-lab.vercel.app/app/onboarding/consent-texts" TargetMode="External" Id="rId14" /><Relationship Type="http://schemas.openxmlformats.org/officeDocument/2006/relationships/hyperlink" Target="https://human-optimization-lab.vercel.app/app/onboarding/syncing" TargetMode="External" Id="rId15" /><Relationship Type="http://schemas.openxmlformats.org/officeDocument/2006/relationships/hyperlink" Target="https://human-optimization-lab.vercel.app/app/profile?demo=paid" TargetMode="External" Id="rId16" /><Relationship Type="http://schemas.openxmlformats.org/officeDocument/2006/relationships/hyperlink" Target="https://human-optimization-lab.vercel.app/app?home=1" TargetMode="External" Id="rId17" /><Relationship Type="http://schemas.openxmlformats.org/officeDocument/2006/relationships/hyperlink" Target="https://human-optimization-lab.vercel.app/app?demo=paid" TargetMode="External" Id="rId18" /><Relationship Type="http://schemas.openxmlformats.org/officeDocument/2006/relationships/hyperlink" Target="https://human-optimization-lab.vercel.app/app/results" TargetMode="External" Id="rId19" /><Relationship Type="http://schemas.openxmlformats.org/officeDocument/2006/relationships/hyperlink" Target="https://human-optimization-lab.vercel.app/app?home=1" TargetMode="External" Id="rId20" /><Relationship Type="http://schemas.openxmlformats.org/officeDocument/2006/relationships/hyperlink" Target="https://human-optimization-lab.vercel.app/app?home=1" TargetMode="External" Id="rId21" /><Relationship Type="http://schemas.openxmlformats.org/officeDocument/2006/relationships/hyperlink" Target="https://human-optimization-lab.vercel.app/app?demo=paid" TargetMode="External" Id="rId22" /><Relationship Type="http://schemas.openxmlformats.org/officeDocument/2006/relationships/hyperlink" Target="https://human-optimization-lab.vercel.app/app?home=1" TargetMode="External" Id="rId23" /><Relationship Type="http://schemas.openxmlformats.org/officeDocument/2006/relationships/hyperlink" Target="https://human-optimization-lab.vercel.app/app/medications" TargetMode="External" Id="rId24" /><Relationship Type="http://schemas.openxmlformats.org/officeDocument/2006/relationships/hyperlink" Target="https://human-optimization-lab.vercel.app/app/notifications" TargetMode="External" Id="rId25" /><Relationship Type="http://schemas.openxmlformats.org/officeDocument/2006/relationships/hyperlink" Target="https://human-optimization-lab.vercel.app/app?demo=paid" TargetMode="External" Id="rId26" /><Relationship Type="http://schemas.openxmlformats.org/officeDocument/2006/relationships/hyperlink" Target="https://human-optimization-lab.vercel.app/app/gaps" TargetMode="External" Id="rId27" /><Relationship Type="http://schemas.openxmlformats.org/officeDocument/2006/relationships/hyperlink" Target="https://human-optimization-lab.vercel.app/app/book/labs-nov" TargetMode="External" Id="rId28" /><Relationship Type="http://schemas.openxmlformats.org/officeDocument/2006/relationships/hyperlink" Target="https://human-optimization-lab.vercel.app/app/schedule-confirmed" TargetMode="External" Id="rId29" /><Relationship Type="http://schemas.openxmlformats.org/officeDocument/2006/relationships/hyperlink" Target="https://human-optimization-lab.vercel.app/app/book/labs-nov" TargetMode="External" Id="rId30" /><Relationship Type="http://schemas.openxmlformats.org/officeDocument/2006/relationships/hyperlink" Target="https://human-optimization-lab.vercel.app/app/gaps?demo=paid" TargetMode="External" Id="rId31" /><Relationship Type="http://schemas.openxmlformats.org/officeDocument/2006/relationships/hyperlink" Target="https://human-optimization-lab.vercel.app/app/gaps?demo=paid" TargetMode="External" Id="rId32" /><Relationship Type="http://schemas.openxmlformats.org/officeDocument/2006/relationships/hyperlink" Target="https://human-optimization-lab.vercel.app/app/gaps?demo=paid" TargetMode="External" Id="rId33" /><Relationship Type="http://schemas.openxmlformats.org/officeDocument/2006/relationships/hyperlink" Target="https://human-optimization-lab.vercel.app/app/results" TargetMode="External" Id="rId34" /><Relationship Type="http://schemas.openxmlformats.org/officeDocument/2006/relationships/hyperlink" Target="https://human-optimization-lab.vercel.app/app/results" TargetMode="External" Id="rId35" /><Relationship Type="http://schemas.openxmlformats.org/officeDocument/2006/relationships/hyperlink" Target="https://human-optimization-lab.vercel.app/app/biomarker/a1c" TargetMode="External" Id="rId36" /><Relationship Type="http://schemas.openxmlformats.org/officeDocument/2006/relationships/hyperlink" Target="https://human-optimization-lab.vercel.app/app/report/2026-03-10-echo-pacific-heart" TargetMode="External" Id="rId37" /><Relationship Type="http://schemas.openxmlformats.org/officeDocument/2006/relationships/hyperlink" Target="https://human-optimization-lab.vercel.app/app/results" TargetMode="External" Id="rId38" /><Relationship Type="http://schemas.openxmlformats.org/officeDocument/2006/relationships/hyperlink" Target="https://human-optimization-lab.vercel.app/app/medications" TargetMode="External" Id="rId39" /><Relationship Type="http://schemas.openxmlformats.org/officeDocument/2006/relationships/hyperlink" Target="https://human-optimization-lab.vercel.app/app/record/add?kind=supplements" TargetMode="External" Id="rId40" /><Relationship Type="http://schemas.openxmlformats.org/officeDocument/2006/relationships/hyperlink" Target="https://human-optimization-lab.vercel.app/app/record/add?kind=allergies" TargetMode="External" Id="rId41" /><Relationship Type="http://schemas.openxmlformats.org/officeDocument/2006/relationships/hyperlink" Target="https://human-optimization-lab.vercel.app/app/record/add?kind=conditions" TargetMode="External" Id="rId42" /><Relationship Type="http://schemas.openxmlformats.org/officeDocument/2006/relationships/hyperlink" Target="https://human-optimization-lab.vercel.app/app/record/add?kind=visits" TargetMode="External" Id="rId43" /><Relationship Type="http://schemas.openxmlformats.org/officeDocument/2006/relationships/hyperlink" Target="https://human-optimization-lab.vercel.app/app/record/add?kind=tests" TargetMode="External" Id="rId44" /><Relationship Type="http://schemas.openxmlformats.org/officeDocument/2006/relationships/hyperlink" Target="https://human-optimization-lab.vercel.app/app/plan?demo=paid" TargetMode="External" Id="rId45" /><Relationship Type="http://schemas.openxmlformats.org/officeDocument/2006/relationships/hyperlink" Target="https://human-optimization-lab.vercel.app/app/topic/exercise" TargetMode="External" Id="rId46" /><Relationship Type="http://schemas.openxmlformats.org/officeDocument/2006/relationships/hyperlink" Target="https://human-optimization-lab.vercel.app/app/topic/exercise" TargetMode="External" Id="rId47" /><Relationship Type="http://schemas.openxmlformats.org/officeDocument/2006/relationships/hyperlink" Target="https://human-optimization-lab.vercel.app/app/topic/eat" TargetMode="External" Id="rId48" /><Relationship Type="http://schemas.openxmlformats.org/officeDocument/2006/relationships/hyperlink" Target="https://human-optimization-lab.vercel.app/app/diet" TargetMode="External" Id="rId49" /><Relationship Type="http://schemas.openxmlformats.org/officeDocument/2006/relationships/hyperlink" Target="https://human-optimization-lab.vercel.app/app/topic-history/eat" TargetMode="External" Id="rId50" /><Relationship Type="http://schemas.openxmlformats.org/officeDocument/2006/relationships/hyperlink" Target="https://human-optimization-lab.vercel.app/app/topic/mind" TargetMode="External" Id="rId51" /><Relationship Type="http://schemas.openxmlformats.org/officeDocument/2006/relationships/hyperlink" Target="https://human-optimization-lab.vercel.app/app/topic/medication" TargetMode="External" Id="rId52" /><Relationship Type="http://schemas.openxmlformats.org/officeDocument/2006/relationships/hyperlink" Target="https://human-optimization-lab.vercel.app/app/topic/measure" TargetMode="External" Id="rId53" /><Relationship Type="http://schemas.openxmlformats.org/officeDocument/2006/relationships/hyperlink" Target="https://human-optimization-lab.vercel.app/app/topic/sleep" TargetMode="External" Id="rId54" /><Relationship Type="http://schemas.openxmlformats.org/officeDocument/2006/relationships/hyperlink" Target="https://human-optimization-lab.vercel.app/app/plan?demo=paid&amp;section=history" TargetMode="External" Id="rId55" /><Relationship Type="http://schemas.openxmlformats.org/officeDocument/2006/relationships/hyperlink" Target="https://human-optimization-lab.vercel.app/app/yesterday" TargetMode="External" Id="rId56" /><Relationship Type="http://schemas.openxmlformats.org/officeDocument/2006/relationships/hyperlink" Target="https://human-optimization-lab.vercel.app/app/history-trends" TargetMode="External" Id="rId57" /><Relationship Type="http://schemas.openxmlformats.org/officeDocument/2006/relationships/hyperlink" Target="https://human-optimization-lab.vercel.app/app/topic-history/exercise" TargetMode="External" Id="rId58" /><Relationship Type="http://schemas.openxmlformats.org/officeDocument/2006/relationships/hyperlink" Target="https://human-optimization-lab.vercel.app/app/topic-history/sleep" TargetMode="External" Id="rId59" /><Relationship Type="http://schemas.openxmlformats.org/officeDocument/2006/relationships/hyperlink" Target="https://human-optimization-lab.vercel.app/app/topic-history/medication" TargetMode="External" Id="rId60" /><Relationship Type="http://schemas.openxmlformats.org/officeDocument/2006/relationships/hyperlink" Target="https://human-optimization-lab.vercel.app/app/plan?demo=paid&amp;section=progress" TargetMode="External" Id="rId61" /><Relationship Type="http://schemas.openxmlformats.org/officeDocument/2006/relationships/hyperlink" Target="https://human-optimization-lab.vercel.app/app/topic/measure" TargetMode="External" Id="rId62" /><Relationship Type="http://schemas.openxmlformats.org/officeDocument/2006/relationships/hyperlink" Target="https://human-optimization-lab.vercel.app/app/plan?demo=paid&amp;section=outlook" TargetMode="External" Id="rId63" /><Relationship Type="http://schemas.openxmlformats.org/officeDocument/2006/relationships/hyperlink" Target="https://human-optimization-lab.vercel.app/app/plan" TargetMode="External" Id="rId64" /><Relationship Type="http://schemas.openxmlformats.org/officeDocument/2006/relationships/hyperlink" Target="https://human-optimization-lab.vercel.app/app/plan" TargetMode="External" Id="rId65" /><Relationship Type="http://schemas.openxmlformats.org/officeDocument/2006/relationships/hyperlink" Target="https://human-optimization-lab.vercel.app/app/enrolled" TargetMode="External" Id="rId66" /><Relationship Type="http://schemas.openxmlformats.org/officeDocument/2006/relationships/hyperlink" Target="https://human-optimization-lab.vercel.app/app/plan-tests" TargetMode="External" Id="rId67" /><Relationship Type="http://schemas.openxmlformats.org/officeDocument/2006/relationships/hyperlink" Target="https://human-optimization-lab.vercel.app/app/plan-tests" TargetMode="External" Id="rId68" /><Relationship Type="http://schemas.openxmlformats.org/officeDocument/2006/relationships/hyperlink" Target="https://human-optimization-lab.vercel.app/app/schedule-tests" TargetMode="External" Id="rId69" /><Relationship Type="http://schemas.openxmlformats.org/officeDocument/2006/relationships/hyperlink" Target="https://human-optimization-lab.vercel.app/app/progress" TargetMode="External" Id="rId70" /><Relationship Type="http://schemas.openxmlformats.org/officeDocument/2006/relationships/hyperlink" Target="https://human-optimization-lab.vercel.app/app/care" TargetMode="External" Id="rId71" /><Relationship Type="http://schemas.openxmlformats.org/officeDocument/2006/relationships/hyperlink" Target="https://human-optimization-lab.vercel.app/app/catalog/category/lab" TargetMode="External" Id="rId72" /><Relationship Type="http://schemas.openxmlformats.org/officeDocument/2006/relationships/hyperlink" Target="https://human-optimization-lab.vercel.app/app/catalog/blood-panel" TargetMode="External" Id="rId73" /><Relationship Type="http://schemas.openxmlformats.org/officeDocument/2006/relationships/hyperlink" Target="https://human-optimization-lab.vercel.app/app/catalog/book/blood-panel" TargetMode="External" Id="rId74" /><Relationship Type="http://schemas.openxmlformats.org/officeDocument/2006/relationships/hyperlink" Target="https://human-optimization-lab.vercel.app/app/assistant?demo=paid" TargetMode="External" Id="rId75" /><Relationship Type="http://schemas.openxmlformats.org/officeDocument/2006/relationships/hyperlink" Target="https://human-optimization-lab.vercel.app/app/assistant?demo=paid" TargetMode="External" Id="rId76" /><Relationship Type="http://schemas.openxmlformats.org/officeDocument/2006/relationships/hyperlink" Target="https://human-optimization-lab.vercel.app/app/assistant?demo=paid" TargetMode="External" Id="rId77" /><Relationship Type="http://schemas.openxmlformats.org/officeDocument/2006/relationships/hyperlink" Target="https://human-optimization-lab.vercel.app/app/assistant?demo=paid" TargetMode="External" Id="rId78" /><Relationship Type="http://schemas.openxmlformats.org/officeDocument/2006/relationships/hyperlink" Target="https://human-optimization-lab.vercel.app/app/chat-history" TargetMode="External" Id="rId79" /><Relationship Type="http://schemas.openxmlformats.org/officeDocument/2006/relationships/hyperlink" Target="https://human-optimization-lab.vercel.app/app/chat-history" TargetMode="External" Id="rId80" /><Relationship Type="http://schemas.openxmlformats.org/officeDocument/2006/relationships/hyperlink" Target="https://human-optimization-lab.vercel.app/app/assistant?demo=paid" TargetMode="External" Id="rId81" /><Relationship Type="http://schemas.openxmlformats.org/officeDocument/2006/relationships/hyperlink" Target="https://human-optimization-lab.vercel.app/app/assistant?demo=paid" TargetMode="External" Id="rId82" /><Relationship Type="http://schemas.openxmlformats.org/officeDocument/2006/relationships/hyperlink" Target="https://human-optimization-lab.vercel.app/app/assistant?demo=paid" TargetMode="External" Id="rId83" /><Relationship Type="http://schemas.openxmlformats.org/officeDocument/2006/relationships/hyperlink" Target="https://human-optimization-lab.vercel.app/app/assistant?demo=paid" TargetMode="External" Id="rId84" /><Relationship Type="http://schemas.openxmlformats.org/officeDocument/2006/relationships/hyperlink" Target="https://human-optimization-lab.vercel.app/app/assistant?demo=paid" TargetMode="External" Id="rId85" /><Relationship Type="http://schemas.openxmlformats.org/officeDocument/2006/relationships/hyperlink" Target="https://human-optimization-lab.vercel.app/app/choose-category" TargetMode="External" Id="rId86" /><Relationship Type="http://schemas.openxmlformats.org/officeDocument/2006/relationships/hyperlink" Target="https://human-optimization-lab.vercel.app/app/membership-pay" TargetMode="External" Id="rId87" /><Relationship Type="http://schemas.openxmlformats.org/officeDocument/2006/relationships/hyperlink" Target="https://human-optimization-lab.vercel.app/app/membership-pay" TargetMode="External" Id="rId88" /><Relationship Type="http://schemas.openxmlformats.org/officeDocument/2006/relationships/hyperlink" Target="https://human-optimization-lab.vercel.app/app/payment" TargetMode="External" Id="rId89" /><Relationship Type="http://schemas.openxmlformats.org/officeDocument/2006/relationships/hyperlink" Target="https://human-optimization-lab.vercel.app/app/membership" TargetMode="External" Id="rId90" /><Relationship Type="http://schemas.openxmlformats.org/officeDocument/2006/relationships/hyperlink" Target="https://human-optimization-lab.vercel.app/app/care" TargetMode="External" Id="rId91" /><Relationship Type="http://schemas.openxmlformats.org/officeDocument/2006/relationships/hyperlink" Target="https://human-optimization-lab.vercel.app/app/membership" TargetMode="External" Id="rId92" /><Relationship Type="http://schemas.openxmlformats.org/officeDocument/2006/relationships/hyperlink" Target="https://human-optimization-lab.vercel.app/app/membership" TargetMode="External" Id="rId93" /><Relationship Type="http://schemas.openxmlformats.org/officeDocument/2006/relationships/hyperlink" Target="https://human-optimization-lab.vercel.app/app/ai-credit" TargetMode="External" Id="rId94" /><Relationship Type="http://schemas.openxmlformats.org/officeDocument/2006/relationships/hyperlink" Target="https://human-optimization-lab.vercel.app/app/membership" TargetMode="External" Id="rId95" /><Relationship Type="http://schemas.openxmlformats.org/officeDocument/2006/relationships/hyperlink" Target="https://human-optimization-lab.vercel.app/app/assistant?demo=paid" TargetMode="External" Id="rId96" /><Relationship Type="http://schemas.openxmlformats.org/officeDocument/2006/relationships/hyperlink" Target="https://human-optimization-lab.vercel.app/app/profile" TargetMode="External" Id="rId97" /><Relationship Type="http://schemas.openxmlformats.org/officeDocument/2006/relationships/hyperlink" Target="https://human-optimization-lab.vercel.app/app/profile" TargetMode="External" Id="rId98" /><Relationship Type="http://schemas.openxmlformats.org/officeDocument/2006/relationships/hyperlink" Target="https://human-optimization-lab.vercel.app/app/profile" TargetMode="External" Id="rId99" /><Relationship Type="http://schemas.openxmlformats.org/officeDocument/2006/relationships/hyperlink" Target="https://human-optimization-lab.vercel.app/app/notifications" TargetMode="External" Id="rId100" /><Relationship Type="http://schemas.openxmlformats.org/officeDocument/2006/relationships/hyperlink" Target="https://human-optimization-lab.vercel.app/app/plan-settings" TargetMode="External" Id="rId101" /></Relationships>
</file>

<file path=xl/worksheets/_rels/sheet10.xml.rels><Relationships xmlns="http://schemas.openxmlformats.org/package/2006/relationships"><Relationship Type="http://schemas.openxmlformats.org/officeDocument/2006/relationships/hyperlink" Target="https://fhir.epic.com/Specifications" TargetMode="External" Id="rId1" /><Relationship Type="http://schemas.openxmlformats.org/officeDocument/2006/relationships/hyperlink" Target="https://docs.oracle.com/en/industries/health/millennium-platform-apis/mfrap/r4_overview.html" TargetMode="External" Id="rId2" /><Relationship Type="http://schemas.openxmlformats.org/officeDocument/2006/relationships/hyperlink" Target="https://greenfield.meditech.com/explorer/api/uscore.STU7.Coverage/2" TargetMode="External" Id="rId3" /></Relationships>
</file>

<file path=xl/worksheets/sheet1.xml><?xml version="1.0" encoding="utf-8"?>
<worksheet xmlns="http://schemas.openxmlformats.org/spreadsheetml/2006/main">
  <sheetPr>
    <outlinePr summaryBelow="1" summaryRight="1"/>
    <pageSetUpPr/>
  </sheetPr>
  <dimension ref="A1:F51"/>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144" min="1" max="1"/>
    <col width="30" customWidth="1" style="144" min="2" max="2"/>
    <col width="111" customWidth="1" style="144" min="3" max="3"/>
    <col width="13.71" customWidth="1" style="144" min="4" max="4"/>
    <col width="23.29" customWidth="1" style="144" min="5" max="5"/>
    <col width="37.71" customWidth="1" style="144" min="6" max="6"/>
  </cols>
  <sheetData>
    <row r="1">
      <c r="A1" s="9" t="inlineStr">
        <is>
          <t>Sr</t>
        </is>
      </c>
      <c r="B1" s="9" t="inlineStr">
        <is>
          <t>MODULE</t>
        </is>
      </c>
      <c r="C1" s="9" t="inlineStr">
        <is>
          <t>DESCRIPTION</t>
        </is>
      </c>
      <c r="D1" s="9" t="inlineStr">
        <is>
          <t>REQUIRED</t>
        </is>
      </c>
      <c r="E1" s="9" t="inlineStr">
        <is>
          <t>PRIORITY</t>
        </is>
      </c>
      <c r="F1" s="9" t="inlineStr">
        <is>
          <t>COMMENTS</t>
        </is>
      </c>
    </row>
    <row r="2">
      <c r="A2" s="145" t="inlineStr">
        <is>
          <t>PATIENT MOBILE APP  (native iOS &amp; Android)</t>
        </is>
      </c>
      <c r="B2" s="146" t="n"/>
      <c r="C2" s="146" t="n"/>
      <c r="D2" s="146" t="n"/>
      <c r="E2" s="146" t="n"/>
      <c r="F2" s="147" t="n"/>
    </row>
    <row r="3">
      <c r="A3" s="107" t="n">
        <v>1</v>
      </c>
      <c r="B3" s="25" t="inlineStr">
        <is>
          <t>Onboarding &amp; consent</t>
        </is>
      </c>
      <c r="C3" s="25" t="inlineStr">
        <is>
          <t>Account creation, identity verification, two-factor login, and plain-language consent captured before any data is collected.</t>
        </is>
      </c>
      <c r="D3" s="105" t="inlineStr">
        <is>
          <t>Yes</t>
        </is>
      </c>
      <c r="E3" s="105" t="inlineStr">
        <is>
          <t>Must Have</t>
        </is>
      </c>
      <c r="F3" s="25" t="n"/>
    </row>
    <row r="4">
      <c r="A4" s="107" t="n">
        <v>2</v>
      </c>
      <c r="B4" s="25" t="inlineStr">
        <is>
          <t>Intake &amp; goals</t>
        </is>
      </c>
      <c r="C4" s="25" t="inlineStr">
        <is>
          <t>An AI-guided intake gathers goals, history and habits, then proposes goals the patient selects — which stay pending physician approval.</t>
        </is>
      </c>
      <c r="D4" s="105" t="inlineStr">
        <is>
          <t>Yes</t>
        </is>
      </c>
      <c r="E4" s="105" t="inlineStr">
        <is>
          <t>Must Have</t>
        </is>
      </c>
      <c r="F4" s="25" t="n"/>
    </row>
    <row r="5">
      <c r="A5" s="107" t="n">
        <v>3</v>
      </c>
      <c r="B5" s="25" t="inlineStr">
        <is>
          <t>Data connections</t>
        </is>
      </c>
      <c r="C5" s="25" t="inlineStr">
        <is>
          <t>The patient authorizes their EMR (across multiple hospitals), connects wearables via Terra, and uploads outside lab or DEXA reports.</t>
        </is>
      </c>
      <c r="D5" s="105" t="inlineStr">
        <is>
          <t>Yes</t>
        </is>
      </c>
      <c r="E5" s="105" t="inlineStr">
        <is>
          <t>Must Have</t>
        </is>
      </c>
      <c r="F5" s="25" t="n"/>
    </row>
    <row r="6">
      <c r="A6" s="107" t="n">
        <v>4</v>
      </c>
      <c r="B6" s="25" t="inlineStr">
        <is>
          <t>Dashboard &amp; record</t>
        </is>
      </c>
      <c r="C6" s="25" t="inlineStr">
        <is>
          <t>A near-real-time home screen showing overall and domain scores, trends, the longitudinal record, and all biomarkers on gauges.</t>
        </is>
      </c>
      <c r="D6" s="105" t="inlineStr">
        <is>
          <t>Yes</t>
        </is>
      </c>
      <c r="E6" s="105" t="inlineStr">
        <is>
          <t>Must Have</t>
        </is>
      </c>
      <c r="F6" s="25" t="n"/>
    </row>
    <row r="7">
      <c r="A7" s="107" t="n">
        <v>5</v>
      </c>
      <c r="B7" s="25" t="inlineStr">
        <is>
          <t>Optimization report</t>
        </is>
      </c>
      <c r="C7" s="25" t="inlineStr">
        <is>
          <t>The interpretive quarterly report — released only after physician sign-off — with per-marker gauges, lifestyle-vs-physician guidance, and data provenance.</t>
        </is>
      </c>
      <c r="D7" s="105" t="inlineStr">
        <is>
          <t>Yes</t>
        </is>
      </c>
      <c r="E7" s="105" t="inlineStr">
        <is>
          <t>Must Have</t>
        </is>
      </c>
      <c r="F7" s="25" t="n"/>
    </row>
    <row r="8">
      <c r="A8" s="107" t="n">
        <v>6</v>
      </c>
      <c r="B8" s="25" t="inlineStr">
        <is>
          <t>Plan &amp; tasks</t>
        </is>
      </c>
      <c r="C8" s="25" t="inlineStr">
        <is>
          <t>The patient's daily and weekly lifestyle plan, with morning and evening check-ins and adherence logging.</t>
        </is>
      </c>
      <c r="D8" s="105" t="inlineStr">
        <is>
          <t>Yes</t>
        </is>
      </c>
      <c r="E8" s="105" t="inlineStr">
        <is>
          <t>Must Have</t>
        </is>
      </c>
      <c r="F8" s="25" t="n"/>
    </row>
    <row r="9">
      <c r="A9" s="107" t="n">
        <v>7</v>
      </c>
      <c r="B9" s="25" t="inlineStr">
        <is>
          <t>AI copilot (chat)</t>
        </is>
      </c>
      <c r="C9" s="25" t="inlineStr">
        <is>
          <t>A guarded assistant grounded in the patient's own data — answering wellness questions by text or voice, routing clinical questions to the physician, and redirecting emergencies to urgent care.</t>
        </is>
      </c>
      <c r="D9" s="105" t="inlineStr">
        <is>
          <t>Yes</t>
        </is>
      </c>
      <c r="E9" s="105" t="inlineStr">
        <is>
          <t>Must Have</t>
        </is>
      </c>
      <c r="F9" s="25" t="n"/>
    </row>
    <row r="10">
      <c r="A10" s="107" t="n">
        <v>8</v>
      </c>
      <c r="B10" s="25" t="inlineStr">
        <is>
          <t>Messages, coaching, purchases</t>
        </is>
      </c>
      <c r="C10" s="25" t="inlineStr">
        <is>
          <t>Secure care-team messaging, coaching booking, and management of membership, add-on panels and AI usage.</t>
        </is>
      </c>
      <c r="D10" s="105" t="inlineStr">
        <is>
          <t>Yes</t>
        </is>
      </c>
      <c r="E10" s="105" t="inlineStr">
        <is>
          <t>Must Have</t>
        </is>
      </c>
      <c r="F10" s="25" t="n"/>
    </row>
    <row r="11">
      <c r="A11" s="145" t="inlineStr">
        <is>
          <t>PHYSICIAN / PRACTICE PORTAL  (web)</t>
        </is>
      </c>
      <c r="B11" s="146" t="n"/>
      <c r="C11" s="146" t="n"/>
      <c r="D11" s="146" t="n"/>
      <c r="E11" s="146" t="n"/>
      <c r="F11" s="147" t="n"/>
    </row>
    <row r="12">
      <c r="A12" s="107" t="n">
        <v>1</v>
      </c>
      <c r="B12" s="25" t="inlineStr">
        <is>
          <t>Roster &amp; referral</t>
        </is>
      </c>
      <c r="C12" s="25" t="inlineStr">
        <is>
          <t>The practice's patient roster with enrollment, physician assignment, patient referral, and invitation.</t>
        </is>
      </c>
      <c r="D12" s="105" t="inlineStr">
        <is>
          <t>Yes</t>
        </is>
      </c>
      <c r="E12" s="105" t="inlineStr">
        <is>
          <t>Must Have</t>
        </is>
      </c>
      <c r="F12" s="25" t="n"/>
    </row>
    <row r="13">
      <c r="A13" s="107" t="n">
        <v>2</v>
      </c>
      <c r="B13" s="25" t="inlineStr">
        <is>
          <t>Priority queue</t>
        </is>
      </c>
      <c r="C13" s="25" t="inlineStr">
        <is>
          <t>A work queue that sorts patients by clinical rule severity, change magnitude and recency so the physician sees what needs attention first.</t>
        </is>
      </c>
      <c r="D13" s="105" t="inlineStr">
        <is>
          <t>Yes</t>
        </is>
      </c>
      <c r="E13" s="105" t="inlineStr">
        <is>
          <t>Must Have</t>
        </is>
      </c>
      <c r="F13" s="25" t="n"/>
    </row>
    <row r="14">
      <c r="A14" s="107" t="n">
        <v>3</v>
      </c>
      <c r="B14" s="25" t="inlineStr">
        <is>
          <t>One-page summary &amp; record</t>
        </is>
      </c>
      <c r="C14" s="25" t="inlineStr">
        <is>
          <t>A single-screen patient summary plus the full longitudinal record with provenance, and a pre-visit brief of changes since the last visit.</t>
        </is>
      </c>
      <c r="D14" s="105" t="inlineStr">
        <is>
          <t>Yes</t>
        </is>
      </c>
      <c r="E14" s="105" t="inlineStr">
        <is>
          <t>Must Have</t>
        </is>
      </c>
      <c r="F14" s="25" t="n"/>
    </row>
    <row r="15">
      <c r="A15" s="107" t="n">
        <v>4</v>
      </c>
      <c r="B15" s="25" t="inlineStr">
        <is>
          <t>AI copilot</t>
        </is>
      </c>
      <c r="C15" s="25" t="inlineStr">
        <is>
          <t>A physician-facing copilot that surfaces biomarker trends, flags findings, suggests follow-up tests, and highlights panel-level gaps.</t>
        </is>
      </c>
      <c r="D15" s="105" t="inlineStr">
        <is>
          <t>Yes</t>
        </is>
      </c>
      <c r="E15" s="105" t="inlineStr">
        <is>
          <t>Must Have</t>
        </is>
      </c>
      <c r="F15" s="25" t="n"/>
    </row>
    <row r="16">
      <c r="A16" s="107" t="n">
        <v>5</v>
      </c>
      <c r="B16" s="25" t="inlineStr">
        <is>
          <t>Report review &amp; sign-off</t>
        </is>
      </c>
      <c r="C16" s="25" t="inlineStr">
        <is>
          <t>Where the physician reviews the AI-drafted report and approves, edits, rejects or requests a repeat test — sign-off releases it to the patient.</t>
        </is>
      </c>
      <c r="D16" s="105" t="inlineStr">
        <is>
          <t>Yes</t>
        </is>
      </c>
      <c r="E16" s="105" t="inlineStr">
        <is>
          <t>Must Have</t>
        </is>
      </c>
      <c r="F16" s="25" t="n"/>
    </row>
    <row r="17">
      <c r="A17" s="107" t="n">
        <v>6</v>
      </c>
      <c r="B17" s="25" t="inlineStr">
        <is>
          <t>Plan builder</t>
        </is>
      </c>
      <c r="C17" s="25" t="inlineStr">
        <is>
          <t>Tools to set goals, interventions, monitoring cadence and success measures, and to approve the patient's goals.</t>
        </is>
      </c>
      <c r="D17" s="105" t="inlineStr">
        <is>
          <t>Yes</t>
        </is>
      </c>
      <c r="E17" s="105" t="inlineStr">
        <is>
          <t>Must Have</t>
        </is>
      </c>
      <c r="F17" s="25" t="n"/>
    </row>
    <row r="18">
      <c r="A18" s="107" t="n">
        <v>7</v>
      </c>
      <c r="B18" s="25" t="inlineStr">
        <is>
          <t>Alerts &amp; safety</t>
        </is>
      </c>
      <c r="C18" s="25" t="inlineStr">
        <is>
          <t>Alert detail with triggering data, rule version and confidence, and the workflow to acknowledge and route abnormal findings.</t>
        </is>
      </c>
      <c r="D18" s="105" t="inlineStr">
        <is>
          <t>Yes</t>
        </is>
      </c>
      <c r="E18" s="105" t="inlineStr">
        <is>
          <t>Must Have</t>
        </is>
      </c>
      <c r="F18" s="25" t="n"/>
    </row>
    <row r="19">
      <c r="A19" s="107" t="n">
        <v>8</v>
      </c>
      <c r="B19" s="25" t="inlineStr">
        <is>
          <t>Billing &amp; admin</t>
        </is>
      </c>
      <c r="C19" s="25" t="inlineStr">
        <is>
          <t>Practice billing and revenue-share visibility, plus user, role and permission management.</t>
        </is>
      </c>
      <c r="D19" s="105" t="inlineStr">
        <is>
          <t>Yes</t>
        </is>
      </c>
      <c r="E19" s="105" t="inlineStr">
        <is>
          <t>Must Have</t>
        </is>
      </c>
      <c r="F19" s="25" t="n"/>
    </row>
    <row r="20" ht="15.75" customHeight="1" s="144">
      <c r="A20" s="107" t="n">
        <v>9</v>
      </c>
      <c r="B20" s="25" t="inlineStr">
        <is>
          <t>Practice dashboard</t>
        </is>
      </c>
      <c r="C20" s="25" t="inlineStr">
        <is>
          <t>A practice-scoped analytics view of enrollment, engagement, outcomes, physician review time and renewal-supporting metrics.</t>
        </is>
      </c>
      <c r="D20" s="105" t="inlineStr">
        <is>
          <t>Yes</t>
        </is>
      </c>
      <c r="E20" s="105" t="inlineStr">
        <is>
          <t>Must Have</t>
        </is>
      </c>
      <c r="F20" s="25" t="n"/>
    </row>
    <row r="21" ht="15.75" customHeight="1" s="144">
      <c r="A21" s="145" t="inlineStr">
        <is>
          <t>COACH PORTAL</t>
        </is>
      </c>
      <c r="B21" s="146" t="n"/>
      <c r="C21" s="146" t="n"/>
      <c r="D21" s="146" t="n"/>
      <c r="E21" s="146" t="n"/>
      <c r="F21" s="147" t="n"/>
    </row>
    <row r="22" ht="15.75" customHeight="1" s="144">
      <c r="A22" s="107" t="n">
        <v>1</v>
      </c>
      <c r="B22" s="25" t="inlineStr">
        <is>
          <t>Access</t>
        </is>
      </c>
      <c r="C22" s="25" t="inlineStr">
        <is>
          <t>Secure login with MFA and tightly scoped access — coaches see only wellness data for their assigned patients, never the clinical record.</t>
        </is>
      </c>
      <c r="D22" s="105" t="inlineStr">
        <is>
          <t>Yes</t>
        </is>
      </c>
      <c r="E22" s="105" t="inlineStr">
        <is>
          <t>Must Have</t>
        </is>
      </c>
      <c r="F22" s="25" t="n"/>
    </row>
    <row r="23" ht="15.75" customHeight="1" s="144">
      <c r="A23" s="107" t="n">
        <v>2</v>
      </c>
      <c r="B23" s="25" t="inlineStr">
        <is>
          <t>Patient context</t>
        </is>
      </c>
      <c r="C23" s="25" t="inlineStr">
        <is>
          <t>The coach's view of each assigned patient's physician-approved goals, lifestyle plan and adherence.</t>
        </is>
      </c>
      <c r="D23" s="105" t="inlineStr">
        <is>
          <t>Yes</t>
        </is>
      </c>
      <c r="E23" s="105" t="inlineStr">
        <is>
          <t>Must Have</t>
        </is>
      </c>
      <c r="F23" s="25" t="n"/>
    </row>
    <row r="24" ht="15.75" customHeight="1" s="144">
      <c r="A24" s="107" t="n">
        <v>3</v>
      </c>
      <c r="B24" s="25" t="inlineStr">
        <is>
          <t>Scheduling</t>
        </is>
      </c>
      <c r="C24" s="25" t="inlineStr">
        <is>
          <t>Tools for the coach to view and manage coaching sessions and set their availability.</t>
        </is>
      </c>
      <c r="D24" s="105" t="inlineStr">
        <is>
          <t>Yes</t>
        </is>
      </c>
      <c r="E24" s="105" t="inlineStr">
        <is>
          <t>Must Have</t>
        </is>
      </c>
      <c r="F24" s="25" t="n"/>
    </row>
    <row r="25" ht="15.75" customHeight="1" s="144">
      <c r="A25" s="107" t="n">
        <v>4</v>
      </c>
      <c r="B25" s="25" t="inlineStr">
        <is>
          <t>Messaging</t>
        </is>
      </c>
      <c r="C25" s="25" t="inlineStr">
        <is>
          <t>Secure messaging with assigned patients, kept within the wellness boundary — no clinical advice.</t>
        </is>
      </c>
      <c r="D25" s="105" t="inlineStr">
        <is>
          <t>Yes</t>
        </is>
      </c>
      <c r="E25" s="105" t="inlineStr">
        <is>
          <t>Must Have</t>
        </is>
      </c>
      <c r="F25" s="25" t="n"/>
    </row>
    <row r="26" ht="15.75" customHeight="1" s="144">
      <c r="A26" s="107" t="n">
        <v>5</v>
      </c>
      <c r="B26" s="25" t="inlineStr">
        <is>
          <t>Session notes</t>
        </is>
      </c>
      <c r="C26" s="25" t="inlineStr">
        <is>
          <t>Recording and reviewing coaching session notes per patient.</t>
        </is>
      </c>
      <c r="D26" s="105" t="inlineStr">
        <is>
          <t>Yes</t>
        </is>
      </c>
      <c r="E26" s="105" t="inlineStr">
        <is>
          <t>Must Have</t>
        </is>
      </c>
      <c r="F26" s="25" t="n"/>
    </row>
    <row r="27" ht="15.75" customHeight="1" s="144">
      <c r="A27" s="145" t="inlineStr">
        <is>
          <t>HOL TEAM PORTAL  (web)</t>
        </is>
      </c>
      <c r="B27" s="146" t="n"/>
      <c r="C27" s="146" t="n"/>
      <c r="D27" s="146" t="n"/>
      <c r="E27" s="146" t="n"/>
      <c r="F27" s="147" t="n"/>
    </row>
    <row r="28" ht="15.75" customHeight="1" s="144">
      <c r="A28" s="107" t="n">
        <v>1</v>
      </c>
      <c r="B28" s="25" t="inlineStr">
        <is>
          <t>Clinical content — biomarker catalog</t>
        </is>
      </c>
      <c r="C28" s="25" t="inlineStr">
        <is>
          <t>Maintaining the 125-biomarker catalog, keeping lab range, physician target and HOL optimal range as three separate fields.</t>
        </is>
      </c>
      <c r="D28" s="105" t="inlineStr">
        <is>
          <t>Yes</t>
        </is>
      </c>
      <c r="E28" s="105" t="inlineStr">
        <is>
          <t>Must Have</t>
        </is>
      </c>
      <c r="F28" s="25" t="n"/>
    </row>
    <row r="29" ht="15.75" customHeight="1" s="144">
      <c r="A29" s="107" t="n">
        <v>2</v>
      </c>
      <c r="B29" s="25" t="inlineStr">
        <is>
          <t>Clinical content — protocols &amp; rules</t>
        </is>
      </c>
      <c r="C29" s="25" t="inlineStr">
        <is>
          <t>Authoring and versioning the protocol/SOP library and configuring the alert rules and score weights the engine uses.</t>
        </is>
      </c>
      <c r="D29" s="105" t="inlineStr">
        <is>
          <t>Yes</t>
        </is>
      </c>
      <c r="E29" s="105" t="inlineStr">
        <is>
          <t>Must Have</t>
        </is>
      </c>
      <c r="F29" s="25" t="n"/>
    </row>
    <row r="30" ht="15.75" customHeight="1" s="144">
      <c r="A30" s="107" t="n">
        <v>3</v>
      </c>
      <c r="B30" s="25" t="inlineStr">
        <is>
          <t>Clinical content — evaluation harness</t>
        </is>
      </c>
      <c r="C30" s="25" t="inlineStr">
        <is>
          <t>A library of graded clinical test cases that every AI change is regression-tested against, with prompt/model versions logged.</t>
        </is>
      </c>
      <c r="D30" s="105" t="inlineStr">
        <is>
          <t>Yes</t>
        </is>
      </c>
      <c r="E30" s="105" t="inlineStr">
        <is>
          <t>Must Have</t>
        </is>
      </c>
      <c r="F30" s="25" t="n"/>
    </row>
    <row r="31" ht="15.75" customHeight="1" s="144">
      <c r="A31" s="107" t="n">
        <v>4</v>
      </c>
      <c r="B31" s="25" t="inlineStr">
        <is>
          <t>Operations — integration health</t>
        </is>
      </c>
      <c r="C31" s="25" t="inlineStr">
        <is>
          <t>Monitoring the health of EMR, Terra and partner connections, and surfacing and retrying failed imports.</t>
        </is>
      </c>
      <c r="D31" s="105" t="inlineStr">
        <is>
          <t>Yes</t>
        </is>
      </c>
      <c r="E31" s="105" t="inlineStr">
        <is>
          <t>Must Have</t>
        </is>
      </c>
      <c r="F31" s="25" t="n"/>
    </row>
    <row r="32" ht="15.75" customHeight="1" s="144">
      <c r="A32" s="107" t="n">
        <v>5</v>
      </c>
      <c r="B32" s="25" t="inlineStr">
        <is>
          <t>Operations — parsing review</t>
        </is>
      </c>
      <c r="C32" s="25" t="inlineStr">
        <is>
          <t>A verification queue where HOL staff review and correct low-confidence document extractions before they enter the record.</t>
        </is>
      </c>
      <c r="D32" s="105" t="inlineStr">
        <is>
          <t>Yes</t>
        </is>
      </c>
      <c r="E32" s="105" t="inlineStr">
        <is>
          <t>Must Have</t>
        </is>
      </c>
      <c r="F32" s="25" t="n"/>
    </row>
    <row r="33" ht="15.75" customHeight="1" s="144">
      <c r="A33" s="107" t="n">
        <v>6</v>
      </c>
      <c r="B33" s="25" t="inlineStr">
        <is>
          <t>Operations — consent, audit, tenancy</t>
        </is>
      </c>
      <c r="C33" s="25" t="inlineStr">
        <is>
          <t>Consent status per patient, the immutable audit trail, and tenant and security administration.</t>
        </is>
      </c>
      <c r="D33" s="105" t="inlineStr">
        <is>
          <t>Yes</t>
        </is>
      </c>
      <c r="E33" s="105" t="inlineStr">
        <is>
          <t>Must Have</t>
        </is>
      </c>
      <c r="F33" s="25" t="n"/>
    </row>
    <row r="34" ht="15.75" customHeight="1" s="144">
      <c r="A34" s="107" t="n">
        <v>7</v>
      </c>
      <c r="B34" s="25" t="inlineStr">
        <is>
          <t>Back office &amp; catalog</t>
        </is>
      </c>
      <c r="C34" s="25" t="inlineStr">
        <is>
          <t>Managing the add-on catalog and pricing, tracking partner commissions, and administering usage, billing and revenue-share.</t>
        </is>
      </c>
      <c r="D34" s="105" t="inlineStr">
        <is>
          <t>Yes</t>
        </is>
      </c>
      <c r="E34" s="105" t="inlineStr">
        <is>
          <t>Must Have</t>
        </is>
      </c>
      <c r="F34" s="25" t="n"/>
    </row>
    <row r="35" ht="15.75" customHeight="1" s="144">
      <c r="A35" s="107" t="n">
        <v>8</v>
      </c>
      <c r="B35" s="25" t="inlineStr">
        <is>
          <t>Analytics dashboards</t>
        </is>
      </c>
      <c r="C35" s="25" t="inlineStr">
        <is>
          <t>HOL-wide, cross-practice dashboards for engagement, outcomes, care gaps and program value.</t>
        </is>
      </c>
      <c r="D35" s="105" t="inlineStr">
        <is>
          <t>Yes</t>
        </is>
      </c>
      <c r="E35" s="105" t="inlineStr">
        <is>
          <t>Must Have</t>
        </is>
      </c>
      <c r="F35" s="25" t="n"/>
    </row>
    <row r="36" ht="15.75" customHeight="1" s="144">
      <c r="A36" s="145" t="inlineStr">
        <is>
          <t>SHARED BACKEND (spans all portals)</t>
        </is>
      </c>
      <c r="B36" s="146" t="n"/>
      <c r="C36" s="146" t="n"/>
      <c r="D36" s="146" t="n"/>
      <c r="E36" s="146" t="n"/>
      <c r="F36" s="147" t="n"/>
    </row>
    <row r="37" ht="15.75" customHeight="1" s="144">
      <c r="A37" s="107" t="n">
        <v>1</v>
      </c>
      <c r="B37" s="25" t="inlineStr">
        <is>
          <t>LHOR / longitudinal record</t>
        </is>
      </c>
      <c r="C37" s="25" t="inlineStr">
        <is>
          <t>The normalization pipeline and time-series database that turn every source into one comparable per-patient record, plus the document store and full data model.</t>
        </is>
      </c>
      <c r="D37" s="105" t="inlineStr">
        <is>
          <t>Yes</t>
        </is>
      </c>
      <c r="E37" s="105" t="inlineStr">
        <is>
          <t>Must Have</t>
        </is>
      </c>
      <c r="F37" s="25" t="n"/>
    </row>
    <row r="38" ht="15.75" customHeight="1" s="144">
      <c r="A38" s="107" t="n">
        <v>2</v>
      </c>
      <c r="B38" s="25" t="inlineStr">
        <is>
          <t>AI intelligence layer</t>
        </is>
      </c>
      <c r="C38" s="25" t="inlineStr">
        <is>
          <t>Retrieval on a commercial model with orchestration, grounding, report and digest generation, the guarded chat and physician copilot, guardrails and the evaluation harness.</t>
        </is>
      </c>
      <c r="D38" s="105" t="inlineStr">
        <is>
          <t>Yes</t>
        </is>
      </c>
      <c r="E38" s="105" t="inlineStr">
        <is>
          <t>Must Have</t>
        </is>
      </c>
      <c r="F38" s="25" t="n"/>
    </row>
    <row r="39" ht="15.75" customHeight="1" s="144">
      <c r="A39" s="107" t="n">
        <v>3</v>
      </c>
      <c r="B39" s="25" t="inlineStr">
        <is>
          <t>CRM / care orchestration</t>
        </is>
      </c>
      <c r="C39" s="25" t="inlineStr">
        <is>
          <t>The workflow engine running the care loop, physician sign-off routing, abnormal-finding routing, engagement automation, scoring and the alert/rules engine.</t>
        </is>
      </c>
      <c r="D39" s="105" t="inlineStr">
        <is>
          <t>Yes</t>
        </is>
      </c>
      <c r="E39" s="105" t="inlineStr">
        <is>
          <t>Must Have</t>
        </is>
      </c>
      <c r="F39" s="25" t="n"/>
    </row>
    <row r="40" ht="15.75" customHeight="1" s="144">
      <c r="A40" s="107" t="n">
        <v>4</v>
      </c>
      <c r="B40" s="25" t="inlineStr">
        <is>
          <t>Identity &amp; multi-tenancy</t>
        </is>
      </c>
      <c r="C40" s="25" t="inlineStr">
        <is>
          <t>Authentication for all roles, role-based access control, and isolation of each practice's data as its own tenant.</t>
        </is>
      </c>
      <c r="D40" s="105" t="inlineStr">
        <is>
          <t>Yes</t>
        </is>
      </c>
      <c r="E40" s="105" t="inlineStr">
        <is>
          <t>Must Have</t>
        </is>
      </c>
      <c r="F40" s="25" t="n"/>
    </row>
    <row r="41" ht="15.75" customHeight="1" s="144">
      <c r="A41" s="107" t="n">
        <v>5</v>
      </c>
      <c r="B41" s="25" t="inlineStr">
        <is>
          <t>Notifications (delivery engine)</t>
        </is>
      </c>
      <c r="C41" s="25" t="inlineStr">
        <is>
          <t>The shared push, email and SMS delivery service that carries only alerts prompting the user to open the app — never PHI.</t>
        </is>
      </c>
      <c r="D41" s="105" t="inlineStr">
        <is>
          <t>Yes</t>
        </is>
      </c>
      <c r="E41" s="105" t="inlineStr">
        <is>
          <t>Must Have</t>
        </is>
      </c>
      <c r="F41" s="25" t="n"/>
    </row>
    <row r="42" ht="15.75" customHeight="1" s="144">
      <c r="A42" s="107" t="n">
        <v>6</v>
      </c>
      <c r="B42" s="25" t="inlineStr">
        <is>
          <t>Platform foundations — security</t>
        </is>
      </c>
      <c r="C42" s="25" t="inlineStr">
        <is>
          <t>Encryption, immutable audit logging, backups and DR, SOC 2 posture, and retention/deletion — spanning every surface.</t>
        </is>
      </c>
      <c r="D42" s="105" t="inlineStr">
        <is>
          <t>Yes</t>
        </is>
      </c>
      <c r="E42" s="105" t="inlineStr">
        <is>
          <t>Must Have</t>
        </is>
      </c>
      <c r="F42" s="25" t="n"/>
    </row>
    <row r="43" ht="15.75" customHeight="1" s="144">
      <c r="A43" s="145" t="inlineStr">
        <is>
          <t>INTEGRATIONS</t>
        </is>
      </c>
      <c r="B43" s="146" t="n"/>
      <c r="C43" s="146" t="n"/>
      <c r="D43" s="146" t="n"/>
      <c r="E43" s="146" t="n"/>
      <c r="F43" s="147" t="n"/>
    </row>
    <row r="44" ht="15.75" customHeight="1" s="144">
      <c r="A44" s="107" t="n"/>
      <c r="B44" s="25" t="inlineStr">
        <is>
          <t>Practice EMR</t>
        </is>
      </c>
      <c r="C44" s="25" t="inlineStr">
        <is>
          <t>Epic, Athena</t>
        </is>
      </c>
      <c r="D44" s="105" t="inlineStr">
        <is>
          <t>Yes</t>
        </is>
      </c>
      <c r="E44" s="105" t="inlineStr">
        <is>
          <t>Must Have</t>
        </is>
      </c>
      <c r="F44" s="25" t="n"/>
    </row>
    <row r="45" ht="15.75" customHeight="1" s="144">
      <c r="A45" s="107" t="n"/>
      <c r="B45" s="25" t="inlineStr">
        <is>
          <t>Werables</t>
        </is>
      </c>
      <c r="C45" s="25" t="inlineStr">
        <is>
          <t>Terra</t>
        </is>
      </c>
      <c r="D45" s="105" t="inlineStr">
        <is>
          <t>Yes</t>
        </is>
      </c>
      <c r="E45" s="105" t="inlineStr">
        <is>
          <t>Must Have</t>
        </is>
      </c>
      <c r="F45" s="25" t="n"/>
    </row>
    <row r="46" ht="15.75" customHeight="1" s="144">
      <c r="A46" s="107" t="n"/>
      <c r="B46" s="25" t="inlineStr">
        <is>
          <t>DEXA</t>
        </is>
      </c>
      <c r="C46" s="25" t="inlineStr">
        <is>
          <t>BodySpec/ Fitnescity</t>
        </is>
      </c>
      <c r="D46" s="105" t="inlineStr">
        <is>
          <t>Yes</t>
        </is>
      </c>
      <c r="E46" s="105" t="inlineStr">
        <is>
          <t>Must Have</t>
        </is>
      </c>
      <c r="F46" s="25" t="n"/>
    </row>
    <row r="47" ht="15.75" customHeight="1" s="144">
      <c r="A47" s="107" t="n"/>
      <c r="B47" s="25" t="inlineStr">
        <is>
          <t xml:space="preserve">AI model </t>
        </is>
      </c>
      <c r="C47" s="25" t="inlineStr">
        <is>
          <t>OpenAI / Anthropic</t>
        </is>
      </c>
      <c r="D47" s="105" t="inlineStr">
        <is>
          <t>Yes</t>
        </is>
      </c>
      <c r="E47" s="105" t="inlineStr">
        <is>
          <t>Must Have</t>
        </is>
      </c>
      <c r="F47" s="25" t="n"/>
    </row>
    <row r="48" ht="15.75" customHeight="1" s="144">
      <c r="A48" s="107" t="n"/>
      <c r="B48" s="25" t="inlineStr">
        <is>
          <t xml:space="preserve">Payments </t>
        </is>
      </c>
      <c r="C48" s="25" t="inlineStr">
        <is>
          <t>Stripe</t>
        </is>
      </c>
      <c r="D48" s="105" t="inlineStr">
        <is>
          <t>Yes</t>
        </is>
      </c>
      <c r="E48" s="105" t="inlineStr">
        <is>
          <t>Must Have</t>
        </is>
      </c>
      <c r="F48" s="25" t="n"/>
    </row>
    <row r="49" ht="15.75" customHeight="1" s="144">
      <c r="A49" s="107" t="n"/>
      <c r="B49" s="25" t="inlineStr">
        <is>
          <t>Cloud &amp; storage (AWS)</t>
        </is>
      </c>
      <c r="C49" s="25" t="inlineStr">
        <is>
          <t>AWS</t>
        </is>
      </c>
      <c r="D49" s="105" t="inlineStr">
        <is>
          <t>Yes</t>
        </is>
      </c>
      <c r="E49" s="105" t="inlineStr">
        <is>
          <t>Must Have</t>
        </is>
      </c>
      <c r="F49" s="25" t="n"/>
    </row>
    <row r="50" ht="15.75" customHeight="1" s="144">
      <c r="A50" s="107" t="n"/>
      <c r="B50" s="25" t="inlineStr">
        <is>
          <t>Labs</t>
        </is>
      </c>
      <c r="C50" s="25" t="inlineStr">
        <is>
          <t>Quest</t>
        </is>
      </c>
      <c r="D50" s="105" t="inlineStr">
        <is>
          <t>Yes</t>
        </is>
      </c>
      <c r="E50" s="105" t="inlineStr">
        <is>
          <t>Must Have</t>
        </is>
      </c>
      <c r="F50" s="25" t="n"/>
    </row>
    <row r="51" ht="15.75" customHeight="1" s="144">
      <c r="A51" s="145" t="n"/>
      <c r="B51" s="146" t="n"/>
      <c r="C51" s="146" t="n"/>
      <c r="D51" s="146" t="n"/>
      <c r="E51" s="146" t="n"/>
      <c r="F51" s="147" t="n"/>
    </row>
    <row r="52" ht="15.75" customHeight="1" s="144"/>
  </sheetData>
  <mergeCells count="7">
    <mergeCell ref="A2:F2"/>
    <mergeCell ref="A11:F11"/>
    <mergeCell ref="A51:F51"/>
    <mergeCell ref="A36:F36"/>
    <mergeCell ref="A27:F27"/>
    <mergeCell ref="A21:F21"/>
    <mergeCell ref="A43:F43"/>
  </mergeCells>
  <dataValidations count="2">
    <dataValidation sqref="E3:E10 E12:E20 E22:E26 E28:E35 E37:E42 E44:E50" showDropDown="0" showInputMessage="0" showErrorMessage="1" allowBlank="1" type="list">
      <formula1>"Must Have,Could Have,Nice To have"</formula1>
    </dataValidation>
    <dataValidation sqref="D3:D10 D12:D20 D22:D26 D28:D35 D37:D42 D44:D50" showDropDown="0" showInputMessage="0" showErrorMessage="1" allowBlank="1" type="list">
      <formula1>"Yes,No"</formula1>
    </dataValidation>
  </dataValidations>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A1:L140"/>
  <sheetViews>
    <sheetView workbookViewId="0">
      <selection activeCell="A1" sqref="A1"/>
    </sheetView>
  </sheetViews>
  <sheetFormatPr baseColWidth="8" defaultColWidth="14.43" defaultRowHeight="15" customHeight="1"/>
  <cols>
    <col width="31.57" customWidth="1" style="144" min="1" max="1"/>
    <col width="34.43" customWidth="1" style="144" min="2" max="2"/>
    <col width="13" customWidth="1" style="144" min="3" max="3"/>
    <col width="74.43000000000001" customWidth="1" style="144" min="4" max="4"/>
    <col width="13" customWidth="1" style="144" min="5" max="5"/>
    <col width="10.14" customWidth="1" style="144" min="6" max="7"/>
    <col width="14.43" customWidth="1" style="144" min="8" max="8"/>
    <col width="23.29" customWidth="1" style="144" min="9" max="9"/>
    <col width="21.57" customWidth="1" style="144" min="10" max="10"/>
    <col width="28.71" customWidth="1" style="144" min="11" max="11"/>
    <col width="25.86" customWidth="1" style="144" min="12" max="12"/>
  </cols>
  <sheetData>
    <row r="1">
      <c r="A1" s="3" t="inlineStr">
        <is>
          <t>Module</t>
        </is>
      </c>
      <c r="B1" s="3" t="inlineStr">
        <is>
          <t>Sub-module</t>
        </is>
      </c>
      <c r="C1" s="3" t="inlineStr">
        <is>
          <t>Status</t>
        </is>
      </c>
      <c r="D1" s="3" t="inlineStr">
        <is>
          <t>Description</t>
        </is>
      </c>
      <c r="E1" s="3" t="inlineStr">
        <is>
          <t>Required</t>
        </is>
      </c>
      <c r="F1" s="3" t="inlineStr">
        <is>
          <t>FE</t>
        </is>
      </c>
      <c r="G1" s="3" t="inlineStr">
        <is>
          <t>BE</t>
        </is>
      </c>
      <c r="H1" s="3" t="inlineStr">
        <is>
          <t>Approved</t>
        </is>
      </c>
      <c r="I1" s="139" t="n"/>
      <c r="J1" s="139" t="n"/>
      <c r="K1" s="139" t="n"/>
      <c r="L1" s="139" t="n"/>
    </row>
    <row r="2">
      <c r="A2" s="11" t="inlineStr">
        <is>
          <t>SECTION A: NEW AND MODIFIED FEATURES BY PORTAL</t>
        </is>
      </c>
      <c r="B2" s="11" t="n"/>
      <c r="C2" s="12" t="n"/>
      <c r="D2" s="38" t="n"/>
      <c r="E2" s="12" t="n"/>
      <c r="F2" s="12" t="n"/>
      <c r="G2" s="12" t="n"/>
      <c r="H2" s="12" t="n"/>
      <c r="I2" s="139" t="n"/>
      <c r="J2" s="139" t="n"/>
      <c r="K2" s="139" t="n"/>
      <c r="L2" s="139" t="n"/>
    </row>
    <row r="3">
      <c r="A3" s="19" t="inlineStr">
        <is>
          <t>SUPER ADMIN PORTAL</t>
        </is>
      </c>
      <c r="B3" s="19" t="n"/>
      <c r="C3" s="99" t="n"/>
      <c r="D3" s="42" t="n"/>
      <c r="E3" s="99" t="n"/>
      <c r="F3" s="99" t="n"/>
      <c r="G3" s="99" t="n"/>
      <c r="H3" s="99" t="n"/>
      <c r="I3" s="139" t="n"/>
      <c r="J3" s="139" t="n"/>
      <c r="K3" s="139" t="n"/>
      <c r="L3" s="139" t="n"/>
    </row>
    <row r="4">
      <c r="A4" s="19" t="inlineStr">
        <is>
          <t>Super Admin Portal: New Features</t>
        </is>
      </c>
      <c r="B4" s="19" t="n"/>
      <c r="C4" s="99" t="n"/>
      <c r="D4" s="42" t="n"/>
      <c r="E4" s="99" t="n"/>
      <c r="F4" s="99" t="n"/>
      <c r="G4" s="99" t="n"/>
      <c r="H4" s="99" t="n"/>
      <c r="I4" s="139" t="n"/>
      <c r="J4" s="139" t="n"/>
      <c r="K4" s="139" t="n"/>
      <c r="L4" s="139" t="n"/>
    </row>
    <row r="5">
      <c r="A5" s="19">
        <f>TRIM('Super Admin Portal  Hol Portal'!A10)</f>
        <v/>
      </c>
      <c r="B5" s="19">
        <f>IFERROR(__xludf.DUMMYFUNCTION("IFERROR(TEXTJOIN("", "",TRUE,UNIQUE(FILTER(TRIM('Super Admin Portal  Hol Portal'!B11:B22),'Super Admin Portal  Hol Portal'!E11:E22=""New""))),"""")"),"Navigation, Dashboard")</f>
        <v/>
      </c>
      <c r="C5" s="99" t="inlineStr">
        <is>
          <t>New</t>
        </is>
      </c>
      <c r="D5" s="42">
        <f>IFERROR(__xludf.DUMMYFUNCTION("IFERROR(TEXTJOIN(CHAR(10),TRUE,FILTER(""• ""&amp;TRIM('Super Admin Portal  Hol Portal'!C11:C22),'Super Admin Portal  Hol Portal'!E11:E22=""New"")),"""")"),"• Navigation &amp; Notifications
• Global Search
• Dashboard Filters
• Summary Cards
• Enrolment by State
• Invites &amp; Conversion
• Patient Status &amp; Enrolment Funnel
• Practices on Inlay
• Region Table")</f>
        <v/>
      </c>
      <c r="E5" s="33" t="inlineStr">
        <is>
          <t>Yes</t>
        </is>
      </c>
      <c r="F5" s="99">
        <f>SUMIFS('Super Admin Portal  Hol Portal'!G11:G22,'Super Admin Portal  Hol Portal'!E11:E22,"New")</f>
        <v/>
      </c>
      <c r="G5" s="99">
        <f>SUMIFS('Super Admin Portal  Hol Portal'!H11:H22,'Super Admin Portal  Hol Portal'!E11:E22,"New")</f>
        <v/>
      </c>
      <c r="H5" s="38" t="n"/>
      <c r="I5" s="139" t="n"/>
      <c r="J5" s="139" t="n"/>
      <c r="K5" s="139" t="n"/>
      <c r="L5" s="139" t="n"/>
    </row>
    <row r="6">
      <c r="A6" s="19">
        <f>TRIM('Super Admin Portal  Hol Portal'!A23)</f>
        <v/>
      </c>
      <c r="B6" s="19">
        <f>IFERROR(__xludf.DUMMYFUNCTION("IFERROR(TEXTJOIN("", "",TRUE,UNIQUE(FILTER(TRIM('Super Admin Portal  Hol Portal'!B24:B41),'Super Admin Portal  Hol Portal'!E24:E41=""New""))),"""")"),"Clinical Content, Catalog, Rules, Eval")</f>
        <v/>
      </c>
      <c r="C6" s="99" t="inlineStr">
        <is>
          <t>New</t>
        </is>
      </c>
      <c r="D6" s="42">
        <f>IFERROR(__xludf.DUMMYFUNCTION("IFERROR(TEXTJOIN(CHAR(10),TRUE,FILTER(""• ""&amp;TRIM('Super Admin Portal  Hol Portal'!C24:C41),'Super Admin Portal  Hol Portal'!E24:E41=""New"")),"""")"),"• Clinical Content Overview
• Range List
• Sex/Age Rule List
• Alert Rule List
• Test-Case List")</f>
        <v/>
      </c>
      <c r="E6" s="33" t="inlineStr">
        <is>
          <t>Yes</t>
        </is>
      </c>
      <c r="F6" s="99">
        <f>SUMIFS('Super Admin Portal  Hol Portal'!G24:G41,'Super Admin Portal  Hol Portal'!E24:E41,"New")</f>
        <v/>
      </c>
      <c r="G6" s="99">
        <f>SUMIFS('Super Admin Portal  Hol Portal'!H24:H41,'Super Admin Portal  Hol Portal'!E24:E41,"New")</f>
        <v/>
      </c>
      <c r="H6" s="38" t="n"/>
      <c r="I6" s="139" t="n"/>
      <c r="J6" s="139" t="n"/>
      <c r="K6" s="139" t="n"/>
      <c r="L6" s="139" t="n"/>
    </row>
    <row r="7">
      <c r="A7" s="19">
        <f>TRIM('Super Admin Portal  Hol Portal'!A42)</f>
        <v/>
      </c>
      <c r="B7" s="19">
        <f>IFERROR(__xludf.DUMMYFUNCTION("IFERROR(TEXTJOIN("", "",TRUE,UNIQUE(FILTER(TRIM('Super Admin Portal  Hol Portal'!B43:B54),'Super Admin Portal  Hol Portal'!E43:E54=""New""))),"""")"),"Settings, AI, Partners")</f>
        <v/>
      </c>
      <c r="C7" s="99" t="inlineStr">
        <is>
          <t>New</t>
        </is>
      </c>
      <c r="D7" s="42">
        <f>IFERROR(__xludf.DUMMYFUNCTION("IFERROR(TEXTJOIN(CHAR(10),TRUE,FILTER(""• ""&amp;TRIM('Super Admin Portal  Hol Portal'!C43:C54),'Super Admin Portal  Hol Portal'!E43:E54=""New"")),"""")"),"• Settings Overview
• AI Credit Allowance
• Partner List
• Add &amp; Edit Partner")</f>
        <v/>
      </c>
      <c r="E7" s="33" t="inlineStr">
        <is>
          <t>Yes</t>
        </is>
      </c>
      <c r="F7" s="99">
        <f>SUMIFS('Super Admin Portal  Hol Portal'!G43:G54,'Super Admin Portal  Hol Portal'!E43:E54,"New")</f>
        <v/>
      </c>
      <c r="G7" s="99">
        <f>SUMIFS('Super Admin Portal  Hol Portal'!H43:H54,'Super Admin Portal  Hol Portal'!E43:E54,"New")</f>
        <v/>
      </c>
      <c r="H7" s="38" t="n"/>
      <c r="I7" s="139" t="n"/>
      <c r="J7" s="139" t="n"/>
      <c r="K7" s="139" t="n"/>
      <c r="L7" s="139" t="n"/>
    </row>
    <row r="8">
      <c r="A8" s="19">
        <f>TRIM('Super Admin Portal  Hol Portal'!A55)</f>
        <v/>
      </c>
      <c r="B8" s="19">
        <f>IFERROR(__xludf.DUMMYFUNCTION("IFERROR(TEXTJOIN("", "",TRUE,UNIQUE(FILTER(TRIM('Super Admin Portal  Hol Portal'!B56:B60),'Super Admin Portal  Hol Portal'!E56:E60=""New""))),"""")"),"Practice List, Practice Details")</f>
        <v/>
      </c>
      <c r="C8" s="99" t="inlineStr">
        <is>
          <t>New</t>
        </is>
      </c>
      <c r="D8" s="42">
        <f>IFERROR(__xludf.DUMMYFUNCTION("IFERROR(TEXTJOIN(CHAR(10),TRUE,FILTER(""• ""&amp;TRIM('Super Admin Portal  Hol Portal'!C56:C60),'Super Admin Portal  Hol Portal'!E56:E60=""New"")),"""")"),"• Practice List
• Practice Overview
• Edit &amp; Deactivate Practice
• Providers &amp; Users")</f>
        <v/>
      </c>
      <c r="E8" s="33" t="inlineStr">
        <is>
          <t>Yes</t>
        </is>
      </c>
      <c r="F8" s="99">
        <f>SUMIFS('Super Admin Portal  Hol Portal'!G56:G60,'Super Admin Portal  Hol Portal'!E56:E60,"New")</f>
        <v/>
      </c>
      <c r="G8" s="99">
        <f>SUMIFS('Super Admin Portal  Hol Portal'!H56:H60,'Super Admin Portal  Hol Portal'!E56:E60,"New")</f>
        <v/>
      </c>
      <c r="H8" s="38" t="n"/>
      <c r="I8" s="139" t="n"/>
      <c r="J8" s="139" t="n"/>
      <c r="K8" s="139" t="n"/>
      <c r="L8" s="139" t="n"/>
    </row>
    <row r="9">
      <c r="A9" s="19">
        <f>TRIM('Super Admin Portal  Hol Portal'!A67)</f>
        <v/>
      </c>
      <c r="B9" s="19">
        <f>IFERROR(__xludf.DUMMYFUNCTION("IFERROR(TEXTJOIN("", "",TRUE,UNIQUE(FILTER(TRIM('Super Admin Portal  Hol Portal'!B68:B80),'Super Admin Portal  Hol Portal'!E68:E80=""New""))),"""")"),"Billing")</f>
        <v/>
      </c>
      <c r="C9" s="99" t="inlineStr">
        <is>
          <t>New</t>
        </is>
      </c>
      <c r="D9" s="42">
        <f>IFERROR(__xludf.DUMMYFUNCTION("IFERROR(TEXTJOIN(CHAR(10),TRUE,FILTER(""• ""&amp;TRIM('Super Admin Portal  Hol Portal'!C68:C80),'Super Admin Portal  Hol Portal'!E68:E80=""New"")),"""")"),"• Billing Dashboard
• Test &amp; Imaging Catalogue
• Price &amp; Margin Calculation
• Membership &amp; AI Allowance
• Practice Billing Terms
• Practice Invoices
• Sales Tax")</f>
        <v/>
      </c>
      <c r="E9" s="33" t="inlineStr">
        <is>
          <t>Yes</t>
        </is>
      </c>
      <c r="F9" s="99">
        <f>SUMIFS('Super Admin Portal  Hol Portal'!G68:G80,'Super Admin Portal  Hol Portal'!E68:E80,"New")</f>
        <v/>
      </c>
      <c r="G9" s="99">
        <f>SUMIFS('Super Admin Portal  Hol Portal'!H68:H80,'Super Admin Portal  Hol Portal'!E68:E80,"New")</f>
        <v/>
      </c>
      <c r="H9" s="38" t="n"/>
      <c r="I9" s="139" t="n"/>
      <c r="J9" s="139" t="n"/>
      <c r="K9" s="139" t="n"/>
      <c r="L9" s="139" t="n"/>
    </row>
    <row r="10">
      <c r="A10" s="19" t="n"/>
      <c r="B10" s="19" t="n"/>
      <c r="C10" s="99" t="n"/>
      <c r="D10" s="42" t="inlineStr">
        <is>
          <t>Subtotal: Super Admin Portal: New Features</t>
        </is>
      </c>
      <c r="E10" s="99" t="n"/>
      <c r="F10" s="99">
        <f>SUM(F5:F9)</f>
        <v/>
      </c>
      <c r="G10" s="99">
        <f>SUM(G5:G9)</f>
        <v/>
      </c>
      <c r="H10" s="38" t="n"/>
      <c r="I10" s="139" t="n"/>
      <c r="J10" s="139" t="n"/>
      <c r="K10" s="139" t="n"/>
      <c r="L10" s="139" t="n"/>
    </row>
    <row r="11">
      <c r="A11" s="60" t="n"/>
      <c r="B11" s="60" t="n"/>
      <c r="C11" s="52" t="n"/>
      <c r="D11" s="58" t="n"/>
      <c r="E11" s="52" t="n"/>
      <c r="F11" s="52" t="n"/>
      <c r="G11" s="52" t="n"/>
      <c r="H11" s="139" t="n"/>
      <c r="I11" s="139" t="n"/>
      <c r="J11" s="139" t="n"/>
      <c r="K11" s="139" t="n"/>
      <c r="L11" s="139" t="n"/>
    </row>
    <row r="12">
      <c r="A12" s="49" t="inlineStr">
        <is>
          <t>Super Admin Portal: Modified Features (delta hours)</t>
        </is>
      </c>
      <c r="B12" s="49" t="n"/>
      <c r="C12" s="50" t="n"/>
      <c r="D12" s="51" t="n"/>
      <c r="E12" s="50" t="n"/>
      <c r="F12" s="50" t="n"/>
      <c r="G12" s="50" t="n"/>
      <c r="H12" s="139" t="n"/>
      <c r="I12" s="139" t="n"/>
      <c r="J12" s="139" t="n"/>
      <c r="K12" s="139" t="n"/>
      <c r="L12" s="139" t="n"/>
    </row>
    <row r="13">
      <c r="A13" s="60">
        <f>TRIM('Super Admin Portal  Hol Portal'!A23)</f>
        <v/>
      </c>
      <c r="B13" s="60">
        <f>IFERROR(__xludf.DUMMYFUNCTION("IFERROR(TEXTJOIN("", "",TRUE,UNIQUE(FILTER(TRIM('Super Admin Portal  Hol Portal'!B24:B41),'Super Admin Portal  Hol Portal'!E24:E41=""Modified""))),"""")"),"Catalog, Rules")</f>
        <v/>
      </c>
      <c r="C13" s="52" t="inlineStr">
        <is>
          <t>Modified</t>
        </is>
      </c>
      <c r="D13" s="58">
        <f>IFERROR(__xludf.DUMMYFUNCTION("IFERROR(TEXTJOIN(CHAR(10),TRUE,FILTER(""• ""&amp;TRIM('Super Admin Portal  Hol Portal'!C24:C41)&amp;"": ""&amp;TRIM('Super Admin Portal  Hol Portal'!D24:D41),'Super Admin Portal  Hol Portal'!E24:E41=""Modified"")),"""")"),"• Biomarker definitions: As a clinical admin, I can maintain biomarker definitions and canonical units by adding, editing, search, filter and retiring biomarkers.
• Alert rules: As a clinical admin, I can configure the deterministic safety/priority rules "&amp;"by adding and editing rules and turning each one on or off.")</f>
        <v/>
      </c>
      <c r="E13" s="33" t="inlineStr">
        <is>
          <t>Yes</t>
        </is>
      </c>
      <c r="F13" s="52">
        <f>SUMIFS('Super Admin Portal  Hol Portal'!G24:G41,'Super Admin Portal  Hol Portal'!E24:E41,"Modified")-8</f>
        <v/>
      </c>
      <c r="G13" s="52">
        <f>SUMIFS('Super Admin Portal  Hol Portal'!H24:H41,'Super Admin Portal  Hol Portal'!E24:E41,"Modified")-12</f>
        <v/>
      </c>
      <c r="H13" s="139" t="n"/>
      <c r="I13" s="139" t="n"/>
      <c r="J13" s="139" t="n"/>
      <c r="K13" s="139" t="n"/>
      <c r="L13" s="139" t="n"/>
    </row>
    <row r="14">
      <c r="A14" s="60">
        <f>TRIM('Super Admin Portal  Hol Portal'!A55)</f>
        <v/>
      </c>
      <c r="B14" s="60">
        <f>IFERROR(__xludf.DUMMYFUNCTION("IFERROR(TEXTJOIN("", "",TRUE,UNIQUE(FILTER(TRIM('Super Admin Portal  Hol Portal'!B56:B60),'Super Admin Portal  Hol Portal'!E56:E60=""Modified""))),"""")"),"Tenancy")</f>
        <v/>
      </c>
      <c r="C14" s="52" t="inlineStr">
        <is>
          <t>Modified</t>
        </is>
      </c>
      <c r="D14" s="58">
        <f>IFERROR(__xludf.DUMMYFUNCTION("IFERROR(TEXTJOIN(CHAR(10),TRUE,FILTER(""• ""&amp;TRIM('Super Admin Portal  Hol Portal'!C56:C60)&amp;"": ""&amp;TRIM('Super Admin Portal  Hol Portal'!D56:D60),'Super Admin Portal  Hol Portal'!E56:E60=""Modified"")),"""")"),"• Tenant admin: As a Super Admin, I should be able to add a practice (a new tenant) with its details, contact, location, messaging number and the features it can use.")</f>
        <v/>
      </c>
      <c r="E14" s="33" t="inlineStr">
        <is>
          <t>Yes</t>
        </is>
      </c>
      <c r="F14" s="52">
        <f>SUMIFS('Super Admin Portal  Hol Portal'!G56:G60,'Super Admin Portal  Hol Portal'!E56:E60,"Modified")-2</f>
        <v/>
      </c>
      <c r="G14" s="52">
        <f>SUMIFS('Super Admin Portal  Hol Portal'!H56:H60,'Super Admin Portal  Hol Portal'!E56:E60,"Modified")-4</f>
        <v/>
      </c>
      <c r="H14" s="139" t="n"/>
      <c r="I14" s="139" t="n"/>
      <c r="J14" s="139" t="n"/>
      <c r="K14" s="139" t="n"/>
      <c r="L14" s="139" t="n"/>
    </row>
    <row r="15">
      <c r="A15" s="60">
        <f>TRIM('Super Admin Portal  Hol Portal'!A67)</f>
        <v/>
      </c>
      <c r="B15" s="60">
        <f>IFERROR(__xludf.DUMMYFUNCTION("IFERROR(TEXTJOIN("", "",TRUE,UNIQUE(FILTER(TRIM('Super Admin Portal  Hol Portal'!B68:B80),'Super Admin Portal  Hol Portal'!E68:E80=""Modified""))),"""")"),"Billing")</f>
        <v/>
      </c>
      <c r="C15" s="52" t="inlineStr">
        <is>
          <t>Modified</t>
        </is>
      </c>
      <c r="D15" s="58">
        <f>IFERROR(__xludf.DUMMYFUNCTION("IFERROR(TEXTJOIN(CHAR(10),TRUE,FILTER(""• ""&amp;TRIM('Super Admin Portal  Hol Portal'!C68:C80)&amp;"": ""&amp;TRIM('Super Admin Portal  Hol Portal'!D68:D80),'Super Admin Portal  Hol Portal'!E68:E80=""Modified"")),"""")"),"• Refunds &amp; adjustments: As HOL ops, I can issue refunds to the original payment method, apply credits for orders that didn’t complete, and make billing adjustments.
• Billing reports: As HOL ops, I can produce billing and revenue reports, including vendo"&amp;"r payouts, revenue by lab and imaging, cancellation and late-fee losses, overdue practices, and totals by channel.")</f>
        <v/>
      </c>
      <c r="E15" s="33" t="inlineStr">
        <is>
          <t>Yes</t>
        </is>
      </c>
      <c r="F15" s="52">
        <f>SUMIFS('Super Admin Portal  Hol Portal'!G68:G80,'Super Admin Portal  Hol Portal'!E68:E80,"Modified")-4</f>
        <v/>
      </c>
      <c r="G15" s="52">
        <f>SUMIFS('Super Admin Portal  Hol Portal'!H68:H80,'Super Admin Portal  Hol Portal'!E68:E80,"Modified")-8</f>
        <v/>
      </c>
      <c r="H15" s="139" t="n"/>
      <c r="I15" s="139" t="n"/>
      <c r="J15" s="139" t="n"/>
      <c r="K15" s="139" t="n"/>
      <c r="L15" s="139" t="n"/>
    </row>
    <row r="16">
      <c r="A16" s="60" t="n"/>
      <c r="B16" s="60" t="n"/>
      <c r="C16" s="52" t="n"/>
      <c r="D16" s="58" t="inlineStr">
        <is>
          <t>Subtotal: Super Admin Portal: Modified Features (delta hours)</t>
        </is>
      </c>
      <c r="E16" s="52" t="n"/>
      <c r="F16" s="52">
        <f>SUM(F13:F15)</f>
        <v/>
      </c>
      <c r="G16" s="52">
        <f>SUM(G13:G15)</f>
        <v/>
      </c>
      <c r="H16" s="139" t="n"/>
      <c r="I16" s="139" t="n"/>
      <c r="J16" s="139" t="n"/>
      <c r="K16" s="139" t="n"/>
      <c r="L16" s="139" t="n"/>
    </row>
    <row r="17">
      <c r="A17" s="60" t="n"/>
      <c r="B17" s="60" t="n"/>
      <c r="C17" s="52" t="n"/>
      <c r="D17" s="58" t="n"/>
      <c r="E17" s="52" t="n"/>
      <c r="F17" s="52" t="n"/>
      <c r="G17" s="52" t="n"/>
      <c r="H17" s="139" t="n"/>
      <c r="I17" s="139" t="n"/>
      <c r="J17" s="139" t="n"/>
      <c r="K17" s="139" t="n"/>
      <c r="L17" s="139" t="n"/>
    </row>
    <row r="18">
      <c r="A18" s="60" t="inlineStr">
        <is>
          <t>PHYSICIAN PORTAL</t>
        </is>
      </c>
      <c r="B18" s="60" t="n"/>
      <c r="C18" s="52" t="n"/>
      <c r="D18" s="58" t="n"/>
      <c r="E18" s="52" t="n"/>
      <c r="F18" s="52" t="n"/>
      <c r="G18" s="52" t="n"/>
      <c r="H18" s="139" t="n"/>
      <c r="I18" s="139" t="n"/>
      <c r="J18" s="139" t="n"/>
      <c r="K18" s="139" t="n"/>
      <c r="L18" s="139" t="n"/>
    </row>
    <row r="19">
      <c r="A19" s="60" t="inlineStr">
        <is>
          <t>Physician Portal: New Features</t>
        </is>
      </c>
      <c r="B19" s="60" t="n"/>
      <c r="C19" s="52" t="n"/>
      <c r="D19" s="58" t="n"/>
      <c r="E19" s="52" t="n"/>
      <c r="F19" s="52" t="n"/>
      <c r="G19" s="52" t="n"/>
      <c r="H19" s="139" t="n"/>
      <c r="I19" s="139" t="n"/>
      <c r="J19" s="139" t="n"/>
      <c r="K19" s="139" t="n"/>
      <c r="L19" s="139" t="n"/>
    </row>
    <row r="20">
      <c r="A20" s="60">
        <f>TRIM('Physician Portal  Provider port'!A3)</f>
        <v/>
      </c>
      <c r="B20" s="60">
        <f>IFERROR(__xludf.DUMMYFUNCTION("IFERROR(TEXTJOIN("", "",TRUE,UNIQUE(FILTER(TRIM('Physician Portal  Provider port'!B4:B9),'Physician Portal  Provider port'!E4:E9=""New""))),"""")"),"Invitation, Activate Account, Forgot Password")</f>
        <v/>
      </c>
      <c r="C20" s="52" t="inlineStr">
        <is>
          <t>New</t>
        </is>
      </c>
      <c r="D20" s="58">
        <f>IFERROR(__xludf.DUMMYFUNCTION("IFERROR(TEXTJOIN(CHAR(10),TRUE,FILTER(""• ""&amp;TRIM('Physician Portal  Provider port'!C4:C9),'Physician Portal  Provider port'!E4:E9=""New"")),"""")"),"• Invitation Email
• Two-Factor Setup
• Forgot Password &amp; Reset Code")</f>
        <v/>
      </c>
      <c r="E20" s="33" t="inlineStr">
        <is>
          <t>Yes</t>
        </is>
      </c>
      <c r="F20" s="52">
        <f>SUMIFS('Physician Portal  Provider port'!G4:G9,'Physician Portal  Provider port'!E4:E9,"New")</f>
        <v/>
      </c>
      <c r="G20" s="52">
        <f>SUMIFS('Physician Portal  Provider port'!H4:H9,'Physician Portal  Provider port'!E4:E9,"New")</f>
        <v/>
      </c>
      <c r="H20" s="139" t="n"/>
      <c r="I20" s="139" t="n"/>
      <c r="J20" s="139" t="n"/>
      <c r="K20" s="139" t="n"/>
      <c r="L20" s="139" t="n"/>
    </row>
    <row r="21">
      <c r="A21" s="60">
        <f>TRIM('Physician Portal  Provider port'!A10)</f>
        <v/>
      </c>
      <c r="B21" s="60">
        <f>IFERROR(__xludf.DUMMYFUNCTION("IFERROR(TEXTJOIN("", "",TRUE,UNIQUE(FILTER(TRIM('Physician Portal  Provider port'!B11:B19),'Physician Portal  Provider port'!E11:E19=""New""))),"""")"),"Dashboard, Worklist")</f>
        <v/>
      </c>
      <c r="C21" s="52" t="inlineStr">
        <is>
          <t>New</t>
        </is>
      </c>
      <c r="D21" s="58">
        <f>IFERROR(__xludf.DUMMYFUNCTION("IFERROR(TEXTJOIN(CHAR(10),TRUE,FILTER(""• ""&amp;TRIM('Physician Portal  Provider port'!C11:C19),'Physician Portal  Provider port'!E11:E19=""New"")),"""")"),"• My Tasks
• Today’s Schedule
• Abnormal Results")</f>
        <v/>
      </c>
      <c r="E21" s="33" t="inlineStr">
        <is>
          <t>Yes</t>
        </is>
      </c>
      <c r="F21" s="52">
        <f>SUMIFS('Physician Portal  Provider port'!G11:G19,'Physician Portal  Provider port'!E11:E19,"New")</f>
        <v/>
      </c>
      <c r="G21" s="52">
        <f>SUMIFS('Physician Portal  Provider port'!H11:H19,'Physician Portal  Provider port'!E11:E19,"New")</f>
        <v/>
      </c>
      <c r="H21" s="139" t="n"/>
      <c r="I21" s="139" t="n"/>
      <c r="J21" s="139" t="n"/>
      <c r="K21" s="139" t="n"/>
      <c r="L21" s="139" t="n"/>
    </row>
    <row r="22">
      <c r="A22" s="60">
        <f>TRIM('Physician Portal  Provider port'!A20)</f>
        <v/>
      </c>
      <c r="B22" s="60">
        <f>IFERROR(__xludf.DUMMYFUNCTION("IFERROR(TEXTJOIN("", "",TRUE,UNIQUE(FILTER(TRIM('Physician Portal  Provider port'!B21:B33),'Physician Portal  Provider port'!E21:E33=""New""))),"""")"),"Add Patient, Edit Patient, Bulk Add Patients, Patients")</f>
        <v/>
      </c>
      <c r="C22" s="52" t="inlineStr">
        <is>
          <t>New</t>
        </is>
      </c>
      <c r="D22" s="58">
        <f>IFERROR(__xludf.DUMMYFUNCTION("IFERROR(TEXTJOIN(CHAR(10),TRUE,FILTER(""• ""&amp;TRIM('Physician Portal  Provider port'!C21:C33),'Physician Portal  Provider port'!E21:E33=""New"")),"""")"),"• Add Patient Form
• Duplicate Patient Check
• Edit Patient
• Template &amp; Upload
• Add bulk patient
• Tabs, Search, Filters &amp; Pagination
• Select &amp; Export")</f>
        <v/>
      </c>
      <c r="E22" s="33" t="inlineStr">
        <is>
          <t>Yes</t>
        </is>
      </c>
      <c r="F22" s="52">
        <f>SUMIFS('Physician Portal  Provider port'!G21:G33,'Physician Portal  Provider port'!E21:E33,"New")</f>
        <v/>
      </c>
      <c r="G22" s="52">
        <f>SUMIFS('Physician Portal  Provider port'!H21:H33,'Physician Portal  Provider port'!E21:E33,"New")</f>
        <v/>
      </c>
      <c r="H22" s="139" t="n"/>
      <c r="I22" s="139" t="n"/>
      <c r="J22" s="139" t="n"/>
      <c r="K22" s="139" t="n"/>
      <c r="L22" s="139" t="n"/>
    </row>
    <row r="23">
      <c r="A23" s="60">
        <f>TRIM('Physician Portal  Provider port'!A34)</f>
        <v/>
      </c>
      <c r="B23" s="60">
        <f>IFERROR(__xludf.DUMMYFUNCTION("IFERROR(TEXTJOIN("", "",TRUE,UNIQUE(FILTER(TRIM('Physician Portal  Provider port'!B35:B39),'Physician Portal  Provider port'!E35:E39=""New""))),"""")"),"Tasks, Add Task")</f>
        <v/>
      </c>
      <c r="C23" s="52" t="inlineStr">
        <is>
          <t>New</t>
        </is>
      </c>
      <c r="D23" s="58">
        <f>IFERROR(__xludf.DUMMYFUNCTION("IFERROR(TEXTJOIN(CHAR(10),TRUE,FILTER(""• ""&amp;TRIM('Physician Portal  Provider port'!C35:C39),'Physician Portal  Provider port'!E35:E39=""New"")),"""")"),"• Task List
• Tabs, Search, Filter
• Select Tasks
• Bulk Mark Complete
• Add Task")</f>
        <v/>
      </c>
      <c r="E23" s="33" t="inlineStr">
        <is>
          <t>Yes</t>
        </is>
      </c>
      <c r="F23" s="52">
        <f>SUMIFS('Physician Portal  Provider port'!G35:G39,'Physician Portal  Provider port'!E35:E39,"New")</f>
        <v/>
      </c>
      <c r="G23" s="52">
        <f>SUMIFS('Physician Portal  Provider port'!H35:H39,'Physician Portal  Provider port'!E35:E39,"New")</f>
        <v/>
      </c>
      <c r="H23" s="139" t="n"/>
      <c r="I23" s="139" t="n"/>
      <c r="J23" s="139" t="n"/>
      <c r="K23" s="139" t="n"/>
      <c r="L23" s="139" t="n"/>
    </row>
    <row r="24">
      <c r="A24" s="60">
        <f>TRIM('Physician Portal  Provider port'!A40)</f>
        <v/>
      </c>
      <c r="B24" s="60">
        <f>IFERROR(__xludf.DUMMYFUNCTION("IFERROR(TEXTJOIN("", "",TRUE,UNIQUE(FILTER(TRIM('Physician Portal  Provider port'!B41:B44),'Physician Portal  Provider port'!E41:E44=""New""))),"""")"),"Scheduling")</f>
        <v/>
      </c>
      <c r="C24" s="52" t="inlineStr">
        <is>
          <t>New</t>
        </is>
      </c>
      <c r="D24" s="58">
        <f>IFERROR(__xludf.DUMMYFUNCTION("IFERROR(TEXTJOIN(CHAR(10),TRUE,FILTER(""• ""&amp;TRIM('Physician Portal  Provider port'!C41:C44),'Physician Portal  Provider port'!E41:E44=""New"")),"""")"),"• Appointments – Calendar View
• Appointments – List View
• Appointment Details &amp; Filters")</f>
        <v/>
      </c>
      <c r="E24" s="33" t="inlineStr">
        <is>
          <t>Yes</t>
        </is>
      </c>
      <c r="F24" s="52">
        <f>SUMIFS('Physician Portal  Provider port'!G41:G44,'Physician Portal  Provider port'!E41:E44,"New")</f>
        <v/>
      </c>
      <c r="G24" s="52">
        <f>SUMIFS('Physician Portal  Provider port'!H41:H44,'Physician Portal  Provider port'!E41:E44,"New")</f>
        <v/>
      </c>
      <c r="H24" s="139" t="n"/>
      <c r="I24" s="139" t="n"/>
      <c r="J24" s="139" t="n"/>
      <c r="K24" s="139" t="n"/>
      <c r="L24" s="139" t="n"/>
    </row>
    <row r="25">
      <c r="A25" s="60">
        <f>TRIM('Physician Portal  Provider port'!A45)</f>
        <v/>
      </c>
      <c r="B25" s="60">
        <f>IFERROR(__xludf.DUMMYFUNCTION("IFERROR(TEXTJOIN("", "",TRUE,UNIQUE(FILTER(TRIM('Physician Portal  Provider port'!B46:B54),'Physician Portal  Provider port'!E46:E54=""New""))),"""")"),"Communication, New Chat")</f>
        <v/>
      </c>
      <c r="C25" s="52" t="inlineStr">
        <is>
          <t>New</t>
        </is>
      </c>
      <c r="D25" s="58">
        <f>IFERROR(__xludf.DUMMYFUNCTION("IFERROR(TEXTJOIN(CHAR(10),TRUE,FILTER(""• ""&amp;TRIM('Physician Portal  Provider port'!C46:C54),'Physician Portal  Provider port'!E46:E54=""New"")),"""")"),"• Conversation List
• Search &amp; Filter Conversations
• Conversation View
• Send Message
• Voice to Text
• Attach &amp; Share Documents
• Reply to a Message
• Reactions
• Start New Chat")</f>
        <v/>
      </c>
      <c r="E25" s="33" t="inlineStr">
        <is>
          <t>Yes</t>
        </is>
      </c>
      <c r="F25" s="52">
        <f>SUMIFS('Physician Portal  Provider port'!G46:G54,'Physician Portal  Provider port'!E46:E54,"New")</f>
        <v/>
      </c>
      <c r="G25" s="52">
        <f>SUMIFS('Physician Portal  Provider port'!H46:H54,'Physician Portal  Provider port'!E46:E54,"New")</f>
        <v/>
      </c>
      <c r="H25" s="139" t="n"/>
      <c r="I25" s="139" t="n"/>
      <c r="J25" s="139" t="n"/>
      <c r="K25" s="139" t="n"/>
      <c r="L25" s="139" t="n"/>
    </row>
    <row r="26">
      <c r="A26" s="60">
        <f>TRIM('Physician Portal  Provider port'!A71)</f>
        <v/>
      </c>
      <c r="B26" s="60">
        <f>IFERROR(__xludf.DUMMYFUNCTION("IFERROR(TEXTJOIN("", "",TRUE,UNIQUE(FILTER(TRIM('Physician Portal  Provider port'!B72:B103),'Physician Portal  Provider port'!E72:E103=""New""))),"""")"),"Patient Header, Dashboard, Overview, Care Plan, Encounters, Appointments, Diagnoses, Medications, Allergies, Patient Chart")</f>
        <v/>
      </c>
      <c r="C26" s="52" t="inlineStr">
        <is>
          <t>New</t>
        </is>
      </c>
      <c r="D26" s="58">
        <f>IFERROR(__xludf.DUMMYFUNCTION("IFERROR(TEXTJOIN(CHAR(10),TRUE,FILTER(""• ""&amp;TRIM('Physician Portal  Provider port'!C72:C103),'Physician Portal  Provider port'!E72:E103=""New"")),"""")"),"• Patient Header
• Add patient Label
• Important Updates
• Face Sheet
• Print Chart
• Timeline
• Edit Plan
• Plan History
• Revise Plan
• Encounter List
• Encounter view
• Print &amp; Download Encounter
• Appointments
• Diagnosis List
• Diagnosis Details
• Me"&amp;"dications
• Allergies
• Vitals – Card View
• Vitals – Trend View
• Vitals – Table View
• Lab Reports
• Lab Orders
• Add Lab Order
• Family History
• Patient Profile
• Discharge or Deactivate Patient")</f>
        <v/>
      </c>
      <c r="E26" s="33" t="inlineStr">
        <is>
          <t>Yes</t>
        </is>
      </c>
      <c r="F26" s="52">
        <f>SUMIFS('Physician Portal  Provider port'!G72:G103,'Physician Portal  Provider port'!E72:E103,"New")</f>
        <v/>
      </c>
      <c r="G26" s="52">
        <f>SUMIFS('Physician Portal  Provider port'!H72:H103,'Physician Portal  Provider port'!E72:E103,"New")</f>
        <v/>
      </c>
      <c r="H26" s="139" t="n"/>
      <c r="I26" s="139" t="n"/>
      <c r="J26" s="139" t="n"/>
      <c r="K26" s="139" t="n"/>
      <c r="L26" s="139" t="n"/>
    </row>
    <row r="27">
      <c r="A27" s="60">
        <f>TRIM('Physician Portal  Provider port'!A110)</f>
        <v/>
      </c>
      <c r="B27" s="60">
        <f>IFERROR(__xludf.DUMMYFUNCTION("IFERROR(TEXTJOIN("", "",TRUE,UNIQUE(FILTER(TRIM('Physician Portal  Provider port'!B111:B117),'Physician Portal  Provider port'!E111:E117=""New""))),"""")"),"Billing, Orders")</f>
        <v/>
      </c>
      <c r="C27" s="52" t="inlineStr">
        <is>
          <t>New</t>
        </is>
      </c>
      <c r="D27" s="58">
        <f>IFERROR(__xludf.DUMMYFUNCTION("IFERROR(TEXTJOIN(CHAR(10),TRUE,FILTER(""• ""&amp;TRIM('Physician Portal  Provider port'!C111:C117),'Physician Portal  Provider port'!E111:E117=""New"")),"""")"),"• Invoice Details
• Pay Invoice &amp; Raise Query
• Order a Test
• Order Details")</f>
        <v/>
      </c>
      <c r="E27" s="33" t="inlineStr">
        <is>
          <t>Yes</t>
        </is>
      </c>
      <c r="F27" s="52">
        <f>SUMIFS('Physician Portal  Provider port'!G111:G117,'Physician Portal  Provider port'!E111:E117,"New")</f>
        <v/>
      </c>
      <c r="G27" s="52">
        <f>SUMIFS('Physician Portal  Provider port'!H111:H117,'Physician Portal  Provider port'!E111:E117,"New")</f>
        <v/>
      </c>
      <c r="H27" s="139" t="n"/>
      <c r="I27" s="139" t="n"/>
      <c r="J27" s="139" t="n"/>
      <c r="K27" s="139" t="n"/>
      <c r="L27" s="139" t="n"/>
    </row>
    <row r="28">
      <c r="A28" s="60">
        <f>TRIM('Physician Portal  Provider port'!A118)</f>
        <v/>
      </c>
      <c r="B28" s="60">
        <f>IFERROR(__xludf.DUMMYFUNCTION("IFERROR(TEXTJOIN("", "",TRUE,UNIQUE(FILTER(TRIM('Physician Portal  Provider port'!B119:B125),'Physician Portal  Provider port'!E119:E125=""New""))),"""")"),"Provider Account, Notifications, Security")</f>
        <v/>
      </c>
      <c r="C28" s="52" t="inlineStr">
        <is>
          <t>New</t>
        </is>
      </c>
      <c r="D28" s="58">
        <f>IFERROR(__xludf.DUMMYFUNCTION("IFERROR(TEXTJOIN(CHAR(10),TRUE,FILTER(""• ""&amp;TRIM('Physician Portal  Provider port'!C119:C125),'Physician Portal  Provider port'!E119:E125=""New"")),"""")"),"• Patient Flags
• Notification preferences
• Audit Log")</f>
        <v/>
      </c>
      <c r="E28" s="33" t="inlineStr">
        <is>
          <t>Yes</t>
        </is>
      </c>
      <c r="F28" s="52">
        <f>SUMIFS('Physician Portal  Provider port'!G119:G125,'Physician Portal  Provider port'!E119:E125,"New")</f>
        <v/>
      </c>
      <c r="G28" s="52">
        <f>SUMIFS('Physician Portal  Provider port'!H119:H125,'Physician Portal  Provider port'!E119:E125,"New")</f>
        <v/>
      </c>
      <c r="H28" s="139" t="n"/>
      <c r="I28" s="139" t="n"/>
      <c r="J28" s="139" t="n"/>
      <c r="K28" s="139" t="n"/>
      <c r="L28" s="139" t="n"/>
    </row>
    <row r="29">
      <c r="A29" s="60">
        <f>TRIM('Physician Portal  Provider port'!B126)</f>
        <v/>
      </c>
      <c r="B29" s="60">
        <f>IFERROR(__xludf.DUMMYFUNCTION("IFERROR(TEXTJOIN("", "",TRUE,UNIQUE(FILTER(TRIM('Physician Portal  Provider port'!B127:B131),'Physician Portal  Provider port'!E127:E131=""New""))),"""")"),"Dashboard")</f>
        <v/>
      </c>
      <c r="C29" s="52" t="inlineStr">
        <is>
          <t>New</t>
        </is>
      </c>
      <c r="D29" s="58">
        <f>IFERROR(__xludf.DUMMYFUNCTION("IFERROR(TEXTJOIN(CHAR(10),TRUE,FILTER(""• ""&amp;TRIM('Physician Portal  Provider port'!C127:C131),'Physician Portal  Provider port'!E127:E131=""New"")),"""")"),"• Enrollment &amp; activation
• Engagement metrics
• Outcome changes
• Alert volume
• Value &amp; renewal metrics")</f>
        <v/>
      </c>
      <c r="E29" s="33" t="inlineStr">
        <is>
          <t>Yes</t>
        </is>
      </c>
      <c r="F29" s="52">
        <f>SUMIFS('Physician Portal  Provider port'!G127:G131,'Physician Portal  Provider port'!E127:E131,"New")</f>
        <v/>
      </c>
      <c r="G29" s="52">
        <f>SUMIFS('Physician Portal  Provider port'!H127:H131,'Physician Portal  Provider port'!E127:E131,"New")</f>
        <v/>
      </c>
      <c r="H29" s="139" t="n"/>
      <c r="I29" s="139" t="n"/>
      <c r="J29" s="139" t="n"/>
      <c r="K29" s="139" t="n"/>
      <c r="L29" s="139" t="n"/>
    </row>
    <row r="30">
      <c r="A30" s="60">
        <f>TRIM('Physician Portal  Provider port'!A132)</f>
        <v/>
      </c>
      <c r="B30" s="60">
        <f>IFERROR(__xludf.DUMMYFUNCTION("IFERROR(TEXTJOIN("", "",TRUE,UNIQUE(FILTER(TRIM('Physician Portal  Provider port'!B133:B140),'Physician Portal  Provider port'!E133:E140=""New""))),"""")"),"Users, Providers, Provider, Non-clinical Users")</f>
        <v/>
      </c>
      <c r="C30" s="52" t="inlineStr">
        <is>
          <t>New</t>
        </is>
      </c>
      <c r="D30" s="58">
        <f>IFERROR(__xludf.DUMMYFUNCTION("IFERROR(TEXTJOIN(CHAR(10),TRUE,FILTER(""• ""&amp;TRIM('Physician Portal  Provider port'!C133:C140),'Physician Portal  Provider port'!E133:E140=""New"")),"""")"),"• Search, Filter
• Bulk Add Providers
• Add Provider
• Provider Profile
• Provider Bulk Import – CSV Import History
• Edit Provider
• Non-clinical Users List
• Add User")</f>
        <v/>
      </c>
      <c r="E30" s="33" t="inlineStr">
        <is>
          <t>Yes</t>
        </is>
      </c>
      <c r="F30" s="52">
        <f>SUMIFS('Physician Portal  Provider port'!G133:G140,'Physician Portal  Provider port'!E133:E140,"New")</f>
        <v/>
      </c>
      <c r="G30" s="52">
        <f>SUMIFS('Physician Portal  Provider port'!H133:H140,'Physician Portal  Provider port'!E133:E140,"New")</f>
        <v/>
      </c>
      <c r="H30" s="139" t="n"/>
      <c r="I30" s="139" t="n"/>
      <c r="J30" s="139" t="n"/>
      <c r="K30" s="139" t="n"/>
      <c r="L30" s="139" t="n"/>
    </row>
    <row r="31">
      <c r="A31" s="60">
        <f>TRIM('Physician Portal  Provider port'!A141)</f>
        <v/>
      </c>
      <c r="B31" s="60">
        <f>IFERROR(__xludf.DUMMYFUNCTION("IFERROR(TEXTJOIN("", "",TRUE,UNIQUE(FILTER(TRIM('Physician Portal  Provider port'!B142:B146),'Physician Portal  Provider port'!E142:E146=""New""))),"""")"),"Locations, Add Location, Location Details")</f>
        <v/>
      </c>
      <c r="C31" s="52" t="inlineStr">
        <is>
          <t>New</t>
        </is>
      </c>
      <c r="D31" s="58">
        <f>IFERROR(__xludf.DUMMYFUNCTION("IFERROR(TEXTJOIN(CHAR(10),TRUE,FILTER(""• ""&amp;TRIM('Physician Portal  Provider port'!C142:C146),'Physician Portal  Provider port'!E142:E146=""New"")),"""")"),"• Location List
• Search, Filter
• Add Location
• Location Details
• Edit Location")</f>
        <v/>
      </c>
      <c r="E31" s="33" t="inlineStr">
        <is>
          <t>Yes</t>
        </is>
      </c>
      <c r="F31" s="52">
        <f>SUMIFS('Physician Portal  Provider port'!G142:G146,'Physician Portal  Provider port'!E142:E146,"New")</f>
        <v/>
      </c>
      <c r="G31" s="52">
        <f>SUMIFS('Physician Portal  Provider port'!H142:H146,'Physician Portal  Provider port'!E142:E146,"New")</f>
        <v/>
      </c>
      <c r="H31" s="139" t="n"/>
      <c r="I31" s="139" t="n"/>
      <c r="J31" s="139" t="n"/>
      <c r="K31" s="139" t="n"/>
      <c r="L31" s="139" t="n"/>
    </row>
    <row r="32">
      <c r="A32" s="60">
        <f>TRIM('Physician Portal  Provider port'!A147)</f>
        <v/>
      </c>
      <c r="B32" s="60">
        <f>IFERROR(__xludf.DUMMYFUNCTION("IFERROR(TEXTJOIN("", "",TRUE,UNIQUE(FILTER(TRIM('Physician Portal  Provider port'!B148:B153),'Physician Portal  Provider port'!E148:E153=""New""))),"""")"),"Provider Account, Employer Accounts, Patient Invitation, Notifications, Security")</f>
        <v/>
      </c>
      <c r="C32" s="52" t="inlineStr">
        <is>
          <t>New</t>
        </is>
      </c>
      <c r="D32" s="58">
        <f>IFERROR(__xludf.DUMMYFUNCTION("IFERROR(TEXTJOIN(CHAR(10),TRUE,FILTER(""• ""&amp;TRIM('Physician Portal  Provider port'!C148:C153),'Physician Portal  Provider port'!E148:E153=""New"")),"""")"),"• Patient Flags
• Employer List &amp; Add Employer
• Invitation Channels
• Invitation Reminders
• Notification preferences
• Audit Log")</f>
        <v/>
      </c>
      <c r="E32" s="33" t="inlineStr">
        <is>
          <t>Yes</t>
        </is>
      </c>
      <c r="F32" s="52">
        <f>SUMIFS('Physician Portal  Provider port'!G148:G153,'Physician Portal  Provider port'!E148:E153,"New")</f>
        <v/>
      </c>
      <c r="G32" s="52">
        <f>SUMIFS('Physician Portal  Provider port'!H148:H153,'Physician Portal  Provider port'!E148:E153,"New")</f>
        <v/>
      </c>
      <c r="H32" s="139" t="n"/>
      <c r="I32" s="139" t="n"/>
      <c r="J32" s="139" t="n"/>
      <c r="K32" s="139" t="n"/>
      <c r="L32" s="139" t="n"/>
    </row>
    <row r="33">
      <c r="A33" s="60" t="n"/>
      <c r="B33" s="60" t="n"/>
      <c r="C33" s="52" t="n"/>
      <c r="D33" s="58" t="inlineStr">
        <is>
          <t>Subtotal: Physician Portal: New Features</t>
        </is>
      </c>
      <c r="E33" s="52" t="n"/>
      <c r="F33" s="52">
        <f>SUM(F20:F32)</f>
        <v/>
      </c>
      <c r="G33" s="52">
        <f>SUM(G20:G32)</f>
        <v/>
      </c>
      <c r="H33" s="139" t="n"/>
      <c r="I33" s="139" t="n"/>
      <c r="J33" s="139" t="n"/>
      <c r="K33" s="139" t="n"/>
      <c r="L33" s="139" t="n"/>
    </row>
    <row r="34">
      <c r="A34" s="60" t="n"/>
      <c r="B34" s="60" t="n"/>
      <c r="C34" s="52" t="n"/>
      <c r="D34" s="58" t="n"/>
      <c r="E34" s="52" t="n"/>
      <c r="F34" s="52" t="n"/>
      <c r="G34" s="52" t="n"/>
      <c r="H34" s="139" t="n"/>
      <c r="I34" s="139" t="n"/>
      <c r="J34" s="139" t="n"/>
      <c r="K34" s="139" t="n"/>
      <c r="L34" s="139" t="n"/>
    </row>
    <row r="35">
      <c r="A35" s="49" t="inlineStr">
        <is>
          <t>Physician Portal: Modified Features (delta hours)</t>
        </is>
      </c>
      <c r="B35" s="49" t="n"/>
      <c r="C35" s="50" t="n"/>
      <c r="D35" s="51" t="n"/>
      <c r="E35" s="50" t="n"/>
      <c r="F35" s="50" t="n"/>
      <c r="G35" s="50" t="n"/>
      <c r="H35" s="139" t="n"/>
      <c r="I35" s="139" t="n"/>
      <c r="J35" s="139" t="n"/>
      <c r="K35" s="139" t="n"/>
      <c r="L35" s="139" t="n"/>
    </row>
    <row r="36">
      <c r="A36" s="60">
        <f>TRIM('Physician Portal  Provider port'!A10)</f>
        <v/>
      </c>
      <c r="B36" s="60">
        <f>IFERROR(__xludf.DUMMYFUNCTION("IFERROR(TEXTJOIN("", "",TRUE,UNIQUE(FILTER(TRIM('Physician Portal  Provider port'!B11:B19),'Physician Portal  Provider port'!E11:E19=""Modified""))),"""")"),"Dashboard")</f>
        <v/>
      </c>
      <c r="C36" s="52" t="inlineStr">
        <is>
          <t>Modified</t>
        </is>
      </c>
      <c r="D36" s="58">
        <f>IFERROR(__xludf.DUMMYFUNCTION("IFERROR(TEXTJOIN(CHAR(10),TRUE,FILTER(""• ""&amp;TRIM('Physician Portal  Provider port'!C11:C19)&amp;"": ""&amp;TRIM('Physician Portal  Provider port'!D11:D19),'Physician Portal  Provider port'!E11:E19=""Modified"")),"""")"),"• Alert volume: As a Provider, I should see one list of items waiting on me and act on each one directly (review, open or reply).")</f>
        <v/>
      </c>
      <c r="E36" s="33" t="inlineStr">
        <is>
          <t>Yes</t>
        </is>
      </c>
      <c r="F36" s="52">
        <f>SUMIFS('Physician Portal  Provider port'!G11:G19,'Physician Portal  Provider port'!E11:E19,"Modified")-2</f>
        <v/>
      </c>
      <c r="G36" s="52">
        <f>SUMIFS('Physician Portal  Provider port'!H11:H19,'Physician Portal  Provider port'!E11:E19,"Modified")-4</f>
        <v/>
      </c>
      <c r="H36" s="139" t="n"/>
      <c r="I36" s="139" t="n"/>
      <c r="J36" s="139" t="n"/>
      <c r="K36" s="139" t="n"/>
      <c r="L36" s="139" t="n"/>
    </row>
    <row r="37">
      <c r="A37" s="60">
        <f>TRIM('Physician Portal  Provider port'!A20)</f>
        <v/>
      </c>
      <c r="B37" s="60">
        <f>IFERROR(__xludf.DUMMYFUNCTION("IFERROR(TEXTJOIN("", "",TRUE,UNIQUE(FILTER(TRIM('Physician Portal  Provider port'!B21:B33),'Physician Portal  Provider port'!E21:E33=""Modified""))),"""")"),"Patient")</f>
        <v/>
      </c>
      <c r="C37" s="52" t="inlineStr">
        <is>
          <t>Modified</t>
        </is>
      </c>
      <c r="D37" s="58">
        <f>IFERROR(__xludf.DUMMYFUNCTION("IFERROR(TEXTJOIN(CHAR(10),TRUE,FILTER(""• ""&amp;TRIM('Physician Portal  Provider port'!C21:C33)&amp;"": ""&amp;TRIM('Physician Portal  Provider port'!D21:D33),'Physician Portal  Provider port'!E21:E33=""Modified"")),"""")"),"• Patient list: As a Provider, I should see my practice’s patients with risk level, ID, name, age and bio age, contact, location, primary provider, status, last interaction and last sync, and open a patient’s dashboard from the list.")</f>
        <v/>
      </c>
      <c r="E37" s="33" t="inlineStr">
        <is>
          <t>Yes</t>
        </is>
      </c>
      <c r="F37" s="52">
        <f>SUMIFS('Physician Portal  Provider port'!G21:G33,'Physician Portal  Provider port'!E21:E33,"Modified")-4</f>
        <v/>
      </c>
      <c r="G37" s="52">
        <f>SUMIFS('Physician Portal  Provider port'!H21:H33,'Physician Portal  Provider port'!E21:E33,"Modified")-6</f>
        <v/>
      </c>
      <c r="H37" s="139" t="n"/>
      <c r="I37" s="139" t="n"/>
      <c r="J37" s="139" t="n"/>
      <c r="K37" s="139" t="n"/>
      <c r="L37" s="139" t="n"/>
    </row>
    <row r="38">
      <c r="A38" s="60">
        <f>TRIM('Physician Portal  Provider port'!A40)</f>
        <v/>
      </c>
      <c r="B38" s="60">
        <f>IFERROR(__xludf.DUMMYFUNCTION("IFERROR(TEXTJOIN("", "",TRUE,UNIQUE(FILTER(TRIM('Physician Portal  Provider port'!B41:B44),'Physician Portal  Provider port'!E41:E44=""Modified""))),"""")"),"Scheduling")</f>
        <v/>
      </c>
      <c r="C38" s="52" t="inlineStr">
        <is>
          <t>Modified</t>
        </is>
      </c>
      <c r="D38" s="58">
        <f>IFERROR(__xludf.DUMMYFUNCTION("IFERROR(TEXTJOIN(CHAR(10),TRUE,FILTER(""• ""&amp;TRIM('Physician Portal  Provider port'!C41:C44)&amp;"": ""&amp;TRIM('Physician Portal  Provider port'!D41:D44),'Physician Portal  Provider port'!E41:E44=""Modified"")),"""")"),"• Appointments view: As a physician, I can view appointments pulled from the EHR by day, week or month, as a calendar or a list, move between dates (Today, previous, next) and see the appointment count, with filters (type, status, in-person/virtual); view"&amp;" only.")</f>
        <v/>
      </c>
      <c r="E38" s="33" t="inlineStr">
        <is>
          <t>Yes</t>
        </is>
      </c>
      <c r="F38" s="52">
        <f>SUMIFS('Physician Portal  Provider port'!G41:G44,'Physician Portal  Provider port'!E41:E44,"Modified")-2</f>
        <v/>
      </c>
      <c r="G38" s="52">
        <f>SUMIFS('Physician Portal  Provider port'!H41:H44,'Physician Portal  Provider port'!E41:E44,"Modified")-2</f>
        <v/>
      </c>
      <c r="H38" s="139" t="n"/>
      <c r="I38" s="139" t="n"/>
      <c r="J38" s="139" t="n"/>
      <c r="K38" s="139" t="n"/>
      <c r="L38" s="139" t="n"/>
    </row>
    <row r="39">
      <c r="A39" s="60">
        <f>TRIM('Physician Portal  Provider port'!A71)</f>
        <v/>
      </c>
      <c r="B39" s="60">
        <f>IFERROR(__xludf.DUMMYFUNCTION("IFERROR(TEXTJOIN("", "",TRUE,UNIQUE(FILTER(TRIM('Physician Portal  Provider port'!B72:B103),'Physician Portal  Provider port'!E72:E103=""Modified""))),"""")"),"AI Chart Summary, Patient Chart/ details")</f>
        <v/>
      </c>
      <c r="C39" s="52" t="inlineStr">
        <is>
          <t>Modified</t>
        </is>
      </c>
      <c r="D39" s="58">
        <f>IFERROR(__xludf.DUMMYFUNCTION("IFERROR(TEXTJOIN(CHAR(10),TRUE,FILTER(""• ""&amp;TRIM('Physician Portal  Provider port'!C72:C103)&amp;"": ""&amp;TRIM('Physician Portal  Provider port'!D72:D103),'Physician Portal  Provider port'!E72:E103=""Modified"")),"""")"),"• Trends &amp; flags: As a Provider, I should see the patient’s out-of-range results and trends to watch, each with its latest value and a mini trend.
• sticky notes: As a Provider, I should see the patient’s sticky note count with the latest note, and be abl"&amp;"e to add a note.")</f>
        <v/>
      </c>
      <c r="E39" s="33" t="inlineStr">
        <is>
          <t>Yes</t>
        </is>
      </c>
      <c r="F39" s="52">
        <f>SUMIFS('Physician Portal  Provider port'!G72:G103,'Physician Portal  Provider port'!E72:E103,"Modified")-14</f>
        <v/>
      </c>
      <c r="G39" s="52">
        <f>SUMIFS('Physician Portal  Provider port'!H72:H103,'Physician Portal  Provider port'!E72:E103,"Modified")-14</f>
        <v/>
      </c>
      <c r="H39" s="139" t="n"/>
      <c r="I39" s="139" t="n"/>
      <c r="J39" s="139" t="n"/>
      <c r="K39" s="139" t="n"/>
      <c r="L39" s="139" t="n"/>
    </row>
    <row r="40">
      <c r="A40" s="60">
        <f>TRIM('Physician Portal  Provider port'!A110)</f>
        <v/>
      </c>
      <c r="B40" s="60">
        <f>IFERROR(__xludf.DUMMYFUNCTION("IFERROR(TEXTJOIN("", "",TRUE,UNIQUE(FILTER(TRIM('Physician Portal  Provider port'!B111:B117),'Physician Portal  Provider port'!E111:E117=""Modified""))),"""")"),"Billing")</f>
        <v/>
      </c>
      <c r="C40" s="52" t="inlineStr">
        <is>
          <t>Modified</t>
        </is>
      </c>
      <c r="D40" s="58">
        <f>IFERROR(__xludf.DUMMYFUNCTION("IFERROR(TEXTJOIN(CHAR(10),TRUE,FILTER(""• ""&amp;TRIM('Physician Portal  Provider port'!C111:C117)&amp;"": ""&amp;TRIM('Physician Portal  Provider port'!D111:D117),'Physician Portal  Provider port'!E111:E117=""Modified"")),"""")"),"• Practice Invoices: As a Clinic Manager, I can see my practice’s invoices for every month and download the statment and pay for it.")</f>
        <v/>
      </c>
      <c r="E40" s="33" t="inlineStr">
        <is>
          <t>Yes</t>
        </is>
      </c>
      <c r="F40" s="52">
        <f>SUMIFS('Physician Portal  Provider port'!G111:G117,'Physician Portal  Provider port'!E111:E117,"Modified")-2</f>
        <v/>
      </c>
      <c r="G40" s="52">
        <f>SUMIFS('Physician Portal  Provider port'!H111:H117,'Physician Portal  Provider port'!E111:E117,"Modified")-2</f>
        <v/>
      </c>
      <c r="H40" s="139" t="n"/>
      <c r="I40" s="139" t="n"/>
      <c r="J40" s="139" t="n"/>
      <c r="K40" s="139" t="n"/>
      <c r="L40" s="139" t="n"/>
    </row>
    <row r="41">
      <c r="A41" s="60" t="n"/>
      <c r="B41" s="60" t="n"/>
      <c r="C41" s="52" t="n"/>
      <c r="D41" s="58" t="inlineStr">
        <is>
          <t>Subtotal: Physician Portal: Modified Features (delta hours)</t>
        </is>
      </c>
      <c r="E41" s="52" t="n"/>
      <c r="F41" s="52">
        <f>SUM(F36:F40)</f>
        <v/>
      </c>
      <c r="G41" s="52">
        <f>SUM(G36:G40)</f>
        <v/>
      </c>
      <c r="H41" s="139" t="n"/>
      <c r="I41" s="139" t="n"/>
      <c r="J41" s="139" t="n"/>
      <c r="K41" s="139" t="n"/>
      <c r="L41" s="139" t="n"/>
    </row>
    <row r="42">
      <c r="A42" s="60" t="n"/>
      <c r="B42" s="60" t="n"/>
      <c r="C42" s="52" t="n"/>
      <c r="D42" s="58" t="n"/>
      <c r="E42" s="52" t="n"/>
      <c r="F42" s="52" t="n"/>
      <c r="G42" s="52" t="n"/>
      <c r="H42" s="139" t="n"/>
      <c r="I42" s="139" t="n"/>
      <c r="J42" s="139" t="n"/>
      <c r="K42" s="139" t="n"/>
      <c r="L42" s="139" t="n"/>
    </row>
    <row r="43">
      <c r="A43" s="60" t="inlineStr">
        <is>
          <t>PATIENT APP</t>
        </is>
      </c>
      <c r="B43" s="60" t="n"/>
      <c r="C43" s="52" t="n"/>
      <c r="D43" s="58" t="n"/>
      <c r="E43" s="52" t="n"/>
      <c r="F43" s="52" t="n"/>
      <c r="G43" s="52" t="n"/>
      <c r="H43" s="139" t="n"/>
      <c r="I43" s="139" t="n"/>
      <c r="J43" s="139" t="n"/>
      <c r="K43" s="139" t="n"/>
      <c r="L43" s="139" t="n"/>
    </row>
    <row r="44">
      <c r="A44" s="60" t="inlineStr">
        <is>
          <t>Patient App: New Features</t>
        </is>
      </c>
      <c r="B44" s="60" t="n"/>
      <c r="C44" s="52" t="n"/>
      <c r="D44" s="58" t="n"/>
      <c r="E44" s="52" t="n"/>
      <c r="F44" s="52" t="n"/>
      <c r="G44" s="52" t="n"/>
      <c r="H44" s="139" t="n"/>
      <c r="I44" s="139" t="n"/>
      <c r="J44" s="139" t="n"/>
      <c r="K44" s="139" t="n"/>
      <c r="L44" s="139" t="n"/>
    </row>
    <row r="45">
      <c r="A45" s="60">
        <f>TRIM('Patient App'!A3)</f>
        <v/>
      </c>
      <c r="B45" s="60">
        <f>IFERROR(__xludf.DUMMYFUNCTION("IFERROR(TEXTJOIN("", "",TRUE,UNIQUE(FILTER(TRIM('Patient App'!B4:B16),'Patient App'!E4:E16=""New""))),"""")"),"Patient Web – Onboarding &amp; Consent, Patient Mobile – Onboarding &amp; Consent, Patient Mobile – Onboarding")</f>
        <v/>
      </c>
      <c r="C45" s="52" t="inlineStr">
        <is>
          <t>New</t>
        </is>
      </c>
      <c r="D45" s="58">
        <f>IFERROR(__xludf.DUMMYFUNCTION("IFERROR(TEXTJOIN(CHAR(10),TRUE,FILTER(""• ""&amp;TRIM('Patient App'!C4:C16),'Patient App'!E4:E16=""New"")),"""")"),"• Invitation Email
• Activate Account
• Download App
• First-Time Setup
• Record Building &amp; Ready")</f>
        <v/>
      </c>
      <c r="E45" s="33" t="inlineStr">
        <is>
          <t>Yes</t>
        </is>
      </c>
      <c r="F45" s="52">
        <f>SUMIFS('Patient App'!G4:G16,'Patient App'!E4:E16,"New")</f>
        <v/>
      </c>
      <c r="G45" s="52">
        <f>SUMIFS('Patient App'!H4:H16,'Patient App'!E4:E16,"New")</f>
        <v/>
      </c>
      <c r="H45" s="139" t="n"/>
      <c r="I45" s="139" t="n"/>
      <c r="J45" s="139" t="n"/>
      <c r="K45" s="139" t="n"/>
      <c r="L45" s="139" t="n"/>
    </row>
    <row r="46">
      <c r="A46" s="60">
        <f>TRIM('Patient App'!A22)</f>
        <v/>
      </c>
      <c r="B46" s="60">
        <f>IFERROR(__xludf.DUMMYFUNCTION("IFERROR(TEXTJOIN("", "",TRUE,UNIQUE(FILTER(TRIM('Patient App'!B23:B31),'Patient App'!E23:E31=""New""))),"""")"),"Data connections")</f>
        <v/>
      </c>
      <c r="C46" s="52" t="inlineStr">
        <is>
          <t>New</t>
        </is>
      </c>
      <c r="D46" s="58">
        <f>IFERROR(__xludf.DUMMYFUNCTION("IFERROR(TEXTJOIN(CHAR(10),TRUE,FILTER(""• ""&amp;TRIM('Patient App'!C23:C31),'Patient App'!E23:E31=""New"")),"""")"),"• Updates About Your Care
• Record Building &amp; Ready")</f>
        <v/>
      </c>
      <c r="E46" s="33" t="inlineStr">
        <is>
          <t>Yes</t>
        </is>
      </c>
      <c r="F46" s="52">
        <f>SUMIFS('Patient App'!G23:G31,'Patient App'!E23:E31,"New")</f>
        <v/>
      </c>
      <c r="G46" s="52">
        <f>SUMIFS('Patient App'!H23:H31,'Patient App'!E23:E31,"New")</f>
        <v/>
      </c>
      <c r="H46" s="139" t="n"/>
      <c r="I46" s="139" t="n"/>
      <c r="J46" s="139" t="n"/>
      <c r="K46" s="139" t="n"/>
      <c r="L46" s="139" t="n"/>
    </row>
    <row r="47">
      <c r="A47" s="60">
        <f>TRIM('Patient App'!A32)</f>
        <v/>
      </c>
      <c r="B47" s="60">
        <f>IFERROR(__xludf.DUMMYFUNCTION("IFERROR(TEXTJOIN("", "",TRUE,UNIQUE(FILTER(TRIM('Patient App'!B33:B43),'Patient App'!E33:E43=""New""))),"""")"),"Patient Mobile – Home, Patient Mobile – Member Home")</f>
        <v/>
      </c>
      <c r="C47" s="52" t="inlineStr">
        <is>
          <t>New</t>
        </is>
      </c>
      <c r="D47" s="58">
        <f>IFERROR(__xludf.DUMMYFUNCTION("IFERROR(TEXTJOIN(CHAR(10),TRUE,FILTER(""• ""&amp;TRIM('Patient App'!C33:C43),'Patient App'!E33:E43=""New"")),"""")"),"• Home Header
• Bottom Navigation
• Member App Tour
• New Results
• Cancelled Membership
• Upcoming Appointments
• Your Medicines
• Notifications")</f>
        <v/>
      </c>
      <c r="E47" s="33" t="inlineStr">
        <is>
          <t>Yes</t>
        </is>
      </c>
      <c r="F47" s="52">
        <f>SUMIFS('Patient App'!G33:G43,'Patient App'!E33:E43,"New")</f>
        <v/>
      </c>
      <c r="G47" s="52">
        <f>SUMIFS('Patient App'!H33:H43,'Patient App'!E33:E43,"New")</f>
        <v/>
      </c>
      <c r="H47" s="139" t="n"/>
      <c r="I47" s="139" t="n"/>
      <c r="J47" s="139" t="n"/>
      <c r="K47" s="139" t="n"/>
      <c r="L47" s="139" t="n"/>
    </row>
    <row r="48">
      <c r="A48" s="60">
        <f>TRIM('Patient App'!A44)</f>
        <v/>
      </c>
      <c r="B48" s="60">
        <f>IFERROR(__xludf.DUMMYFUNCTION("IFERROR(TEXTJOIN("", "",TRUE,UNIQUE(FILTER(TRIM('Patient App'!B45:B53),'Patient App'!E45:E53=""New""))),"""")"),"Patient Mobile – Member Home, Patient Mobile – To Do, Patient Mobile – to do")</f>
        <v/>
      </c>
      <c r="C48" s="52" t="inlineStr">
        <is>
          <t>New</t>
        </is>
      </c>
      <c r="D48" s="58">
        <f>IFERROR(__xludf.DUMMYFUNCTION("IFERROR(TEXTJOIN(CHAR(10),TRUE,FILTER(""• ""&amp;TRIM('Patient App'!C45:C53),'Patient App'!E45:E53=""New"")),"""")"),"• Today’s To-do
• Free To Do – Filters &amp; Completed
• Book a Test Through Inlay
• Tests Scheduled and view
• Pay &amp; Place Order
• Booking Confirmation
• Member To Do – Today's To Do Overview
• Member To Do – Upcoming &amp; Booked
• Member To Do – Filters &amp; Comp"&amp;"leted")</f>
        <v/>
      </c>
      <c r="E48" s="33" t="inlineStr">
        <is>
          <t>Yes</t>
        </is>
      </c>
      <c r="F48" s="52">
        <f>SUMIFS('Patient App'!G45:G53,'Patient App'!E45:E53,"New")</f>
        <v/>
      </c>
      <c r="G48" s="52">
        <f>SUMIFS('Patient App'!H45:H53,'Patient App'!E45:E53,"New")</f>
        <v/>
      </c>
      <c r="H48" s="139" t="n"/>
      <c r="I48" s="139" t="n"/>
      <c r="J48" s="139" t="n"/>
      <c r="K48" s="139" t="n"/>
      <c r="L48" s="139" t="n"/>
    </row>
    <row r="49">
      <c r="A49" s="60">
        <f>TRIM('Patient App'!A54)</f>
        <v/>
      </c>
      <c r="B49" s="60">
        <f>IFERROR(__xludf.DUMMYFUNCTION("IFERROR(TEXTJOIN("", "",TRUE,UNIQUE(FILTER(TRIM('Patient App'!B55:B66),'Patient App'!E55:E66=""New""))),"""")"),"Patient Mobile – Record")</f>
        <v/>
      </c>
      <c r="C49" s="52" t="inlineStr">
        <is>
          <t>New</t>
        </is>
      </c>
      <c r="D49" s="58">
        <f>IFERROR(__xludf.DUMMYFUNCTION("IFERROR(TEXTJOIN(CHAR(10),TRUE,FILTER(""• ""&amp;TRIM('Patient App'!C55:C66),'Patient App'!E55:E66=""New"")),"""")"),"• Biomarker Details
• Record tabs Details
• Record Sections
• Medicines
• Add to Record – Supplement
• Add to Record – Allergy
• Add to Record – Condition
• Add to Record – Visit
• Add to Record – Test Result")</f>
        <v/>
      </c>
      <c r="E49" s="33" t="inlineStr">
        <is>
          <t>Yes</t>
        </is>
      </c>
      <c r="F49" s="52">
        <f>SUMIFS('Patient App'!G55:G66,'Patient App'!E55:E66,"New")</f>
        <v/>
      </c>
      <c r="G49" s="52">
        <f>SUMIFS('Patient App'!H55:H66,'Patient App'!E55:E66,"New")</f>
        <v/>
      </c>
      <c r="H49" s="139" t="n"/>
      <c r="I49" s="139" t="n"/>
      <c r="J49" s="139" t="n"/>
      <c r="K49" s="139" t="n"/>
      <c r="L49" s="139" t="n"/>
    </row>
    <row r="50">
      <c r="A50" s="60">
        <f>TRIM('Patient App'!A67)</f>
        <v/>
      </c>
      <c r="B50" s="60">
        <f>IFERROR(__xludf.DUMMYFUNCTION("IFERROR(TEXTJOIN("", "",TRUE,UNIQUE(FILTER(TRIM('Patient App'!B68:B90),'Patient App'!E68:E90=""New""))),"""")"),"Patient Mobile – Plan")</f>
        <v/>
      </c>
      <c r="C50" s="52" t="inlineStr">
        <is>
          <t>New</t>
        </is>
      </c>
      <c r="D50" s="58">
        <f>IFERROR(__xludf.DUMMYFUNCTION("IFERROR(TEXTJOIN(CHAR(10),TRUE,FILTER(""• ""&amp;TRIM('Patient App'!C68:C90),'Patient App'!E68:E90=""New"")),"""")"),"• Plan Overview
• Today – Exercise – Session &amp; Logging
• Today – Exercise – Easier Version or Own Programme
• Today – Eat – Today’s Meals &amp; Logging
• Today – Eat – Diet Plan
• Today – Eat – Drinks &amp; History
• Today – Mind – Today’s Practice
• Today – Medi"&amp;"cation
• Today – Measure
• Today – Sleep
• History – Overview
• History – Yesterday
• History – Your History
• History – Exercise &amp; Eat
• History – Sleep &amp; Mind
• History – Medication
• Progress – Overview
• Progress – Add Weight
• Outlook – Projection")</f>
        <v/>
      </c>
      <c r="E50" s="33" t="inlineStr">
        <is>
          <t>Yes</t>
        </is>
      </c>
      <c r="F50" s="52">
        <f>SUMIFS('Patient App'!G68:G90,'Patient App'!E68:E90,"New")</f>
        <v/>
      </c>
      <c r="G50" s="52">
        <f>SUMIFS('Patient App'!H68:H90,'Patient App'!E68:E90,"New")</f>
        <v/>
      </c>
      <c r="H50" s="139" t="n"/>
      <c r="I50" s="139" t="n"/>
      <c r="J50" s="139" t="n"/>
      <c r="K50" s="139" t="n"/>
      <c r="L50" s="139" t="n"/>
    </row>
    <row r="51">
      <c r="A51" s="60">
        <f>TRIM('Patient App'!A91)</f>
        <v/>
      </c>
      <c r="B51" s="60">
        <f>IFERROR(__xludf.DUMMYFUNCTION("IFERROR(TEXTJOIN("", "",TRUE,UNIQUE(FILTER(TRIM('Patient App'!B92:B99),'Patient App'!E92:E99=""New""))),"""")"),"Patient Mobile – Upgrade")</f>
        <v/>
      </c>
      <c r="C51" s="52" t="inlineStr">
        <is>
          <t>New</t>
        </is>
      </c>
      <c r="D51" s="58">
        <f>IFERROR(__xludf.DUMMYFUNCTION("IFERROR(TEXTJOIN(CHAR(10),TRUE,FILTER(""• ""&amp;TRIM('Patient App'!C92:C99),'Patient App'!E92:E99=""New"")),"""")"),"• Start Your Plan
• You’re Enrolled
• Establish Your Baseline
• Schedule Your Tests")</f>
        <v/>
      </c>
      <c r="E51" s="33" t="inlineStr">
        <is>
          <t>Yes</t>
        </is>
      </c>
      <c r="F51" s="52">
        <f>SUMIFS('Patient App'!G92:G99,'Patient App'!E92:E99,"New")</f>
        <v/>
      </c>
      <c r="G51" s="52">
        <f>SUMIFS('Patient App'!H92:H99,'Patient App'!E92:E99,"New")</f>
        <v/>
      </c>
      <c r="H51" s="139" t="n"/>
      <c r="I51" s="139" t="n"/>
      <c r="J51" s="139" t="n"/>
      <c r="K51" s="139" t="n"/>
      <c r="L51" s="139" t="n"/>
    </row>
    <row r="52">
      <c r="A52" s="60">
        <f>TRIM('Patient App'!A100)</f>
        <v/>
      </c>
      <c r="B52" s="60">
        <f>IFERROR(__xludf.DUMMYFUNCTION("IFERROR(TEXTJOIN("", "",TRUE,UNIQUE(FILTER(TRIM('Patient App'!B101:B104),'Patient App'!E101:E104=""New""))),"""")"),"Patient Mobile – Care")</f>
        <v/>
      </c>
      <c r="C52" s="52" t="inlineStr">
        <is>
          <t>New</t>
        </is>
      </c>
      <c r="D52" s="58">
        <f>IFERROR(__xludf.DUMMYFUNCTION("IFERROR(TEXTJOIN(CHAR(10),TRUE,FILTER(""• ""&amp;TRIM('Patient App'!C101:C104),'Patient App'!E101:E104=""New"")),"""")"),"• Care Tab
• Category List
• Item Details &amp; Order
• Book a Time")</f>
        <v/>
      </c>
      <c r="E52" s="33" t="inlineStr">
        <is>
          <t>Yes</t>
        </is>
      </c>
      <c r="F52" s="52">
        <f>SUMIFS('Patient App'!G101:G104,'Patient App'!E101:E104,"New")</f>
        <v/>
      </c>
      <c r="G52" s="52">
        <f>SUMIFS('Patient App'!H101:H104,'Patient App'!E101:E104,"New")</f>
        <v/>
      </c>
      <c r="H52" s="139" t="n"/>
      <c r="I52" s="139" t="n"/>
      <c r="J52" s="139" t="n"/>
      <c r="K52" s="139" t="n"/>
      <c r="L52" s="139" t="n"/>
    </row>
    <row r="53">
      <c r="A53" s="60">
        <f>TRIM('Patient App'!A105)</f>
        <v/>
      </c>
      <c r="B53" s="60">
        <f>IFERROR(__xludf.DUMMYFUNCTION("IFERROR(TEXTJOIN("", "",TRUE,UNIQUE(FILTER(TRIM('Patient App'!B106:B123),'Patient App'!E106:E123=""New""))),"""")"),"Patient Mobile – Ask Inlay")</f>
        <v/>
      </c>
      <c r="C53" s="52" t="inlineStr">
        <is>
          <t>New</t>
        </is>
      </c>
      <c r="D53" s="58">
        <f>IFERROR(__xludf.DUMMYFUNCTION("IFERROR(TEXTJOIN(CHAR(10),TRUE,FILTER(""• ""&amp;TRIM('Patient App'!C106:C123),'Patient App'!E106:E123=""New"")),"""")"),"• Ask a Question
• Medical Disclaimer
• Chat History
• Chats by Category
• Ask Inlay – Home
• Ask Inlay – To Do
• Ask Inlay – Record
• Ask Inlay – Plan
• Ask Inlay – Care
• Ask Inlay – Chat Sessions
• Ask Inlay – Response Guardrails")</f>
        <v/>
      </c>
      <c r="E53" s="33" t="inlineStr">
        <is>
          <t>Yes</t>
        </is>
      </c>
      <c r="F53" s="52">
        <f>SUMIFS('Patient App'!G106:G123,'Patient App'!E106:E123,"New")</f>
        <v/>
      </c>
      <c r="G53" s="52">
        <f>SUMIFS('Patient App'!H106:H123,'Patient App'!E106:E123,"New")</f>
        <v/>
      </c>
      <c r="H53" s="139" t="n"/>
      <c r="I53" s="139" t="n"/>
      <c r="J53" s="139" t="n"/>
      <c r="K53" s="139" t="n"/>
      <c r="L53" s="139" t="n"/>
    </row>
    <row r="54">
      <c r="A54" s="60">
        <f>TRIM('Patient App'!A127)</f>
        <v/>
      </c>
      <c r="B54" s="60">
        <f>IFERROR(__xludf.DUMMYFUNCTION("IFERROR(TEXTJOIN("", "",TRUE,UNIQUE(FILTER(TRIM('Patient App'!B128:B139),'Patient App'!E128:E139=""New""))),"""")"),"Patient Mobile – Upgrade, Billing, Patient Mobile – Ask Inlay")</f>
        <v/>
      </c>
      <c r="C54" s="52" t="inlineStr">
        <is>
          <t>New</t>
        </is>
      </c>
      <c r="D54" s="58">
        <f>IFERROR(__xludf.DUMMYFUNCTION("IFERROR(TEXTJOIN(CHAR(10),TRUE,FILTER(""• ""&amp;TRIM('Patient App'!C128:C139),'Patient App'!E128:E139=""New"")),"""")"),"• Choose Billing
• Payment Method
• Refunds
• Credit Nearly Used")</f>
        <v/>
      </c>
      <c r="E54" s="33" t="inlineStr">
        <is>
          <t>Yes</t>
        </is>
      </c>
      <c r="F54" s="52">
        <f>SUMIFS('Patient App'!G128:G139,'Patient App'!E128:E139,"New")</f>
        <v/>
      </c>
      <c r="G54" s="52">
        <f>SUMIFS('Patient App'!H128:H139,'Patient App'!E128:E139,"New")</f>
        <v/>
      </c>
      <c r="H54" s="139" t="n"/>
      <c r="I54" s="139" t="n"/>
      <c r="J54" s="139" t="n"/>
      <c r="K54" s="139" t="n"/>
      <c r="L54" s="139" t="n"/>
    </row>
    <row r="55">
      <c r="A55" s="60">
        <f>TRIM('Patient App'!A140)</f>
        <v/>
      </c>
      <c r="B55" s="60">
        <f>IFERROR(__xludf.DUMMYFUNCTION("IFERROR(TEXTJOIN("", "",TRUE,UNIQUE(FILTER(TRIM('Patient App'!B141:B145),'Patient App'!E141:E145=""New""))),"""")"),"Setting, Patient Mobile – Profile")</f>
        <v/>
      </c>
      <c r="C55" s="52" t="inlineStr">
        <is>
          <t>New</t>
        </is>
      </c>
      <c r="D55" s="58">
        <f>IFERROR(__xludf.DUMMYFUNCTION("IFERROR(TEXTJOIN(CHAR(10),TRUE,FILTER(""• ""&amp;TRIM('Patient App'!C141:C145),'Patient App'!E141:E145=""New"")),"""")"),"• Change password
• Your Doctor &amp; Practice")</f>
        <v/>
      </c>
      <c r="E55" s="33" t="inlineStr">
        <is>
          <t>Yes</t>
        </is>
      </c>
      <c r="F55" s="52">
        <f>SUMIFS('Patient App'!G141:G145,'Patient App'!E141:E145,"New")</f>
        <v/>
      </c>
      <c r="G55" s="52">
        <f>SUMIFS('Patient App'!H141:H145,'Patient App'!E141:E145,"New")</f>
        <v/>
      </c>
      <c r="H55" s="139" t="n"/>
      <c r="I55" s="139" t="n"/>
      <c r="J55" s="139" t="n"/>
      <c r="K55" s="139" t="n"/>
      <c r="L55" s="139" t="n"/>
    </row>
    <row r="56">
      <c r="A56" s="60" t="n"/>
      <c r="B56" s="60" t="n"/>
      <c r="C56" s="52" t="n"/>
      <c r="D56" s="58" t="inlineStr">
        <is>
          <t>Subtotal: Patient App: New Features</t>
        </is>
      </c>
      <c r="E56" s="52" t="n"/>
      <c r="F56" s="52">
        <f>SUM(F45:F55)</f>
        <v/>
      </c>
      <c r="G56" s="52">
        <f>SUM(G45:G55)</f>
        <v/>
      </c>
      <c r="H56" s="139" t="n"/>
      <c r="I56" s="139" t="n"/>
      <c r="J56" s="139" t="n"/>
      <c r="K56" s="139" t="n"/>
      <c r="L56" s="139" t="n"/>
    </row>
    <row r="57">
      <c r="A57" s="60" t="n"/>
      <c r="B57" s="60" t="n"/>
      <c r="C57" s="52" t="n"/>
      <c r="D57" s="58" t="n"/>
      <c r="E57" s="52" t="n"/>
      <c r="F57" s="52" t="n"/>
      <c r="G57" s="52" t="n"/>
      <c r="H57" s="139" t="n"/>
      <c r="I57" s="139" t="n"/>
      <c r="J57" s="139" t="n"/>
      <c r="K57" s="139" t="n"/>
      <c r="L57" s="139" t="n"/>
    </row>
    <row r="58">
      <c r="A58" s="49" t="inlineStr">
        <is>
          <t>Patient App: Modified Features (delta hours)</t>
        </is>
      </c>
      <c r="B58" s="49" t="n"/>
      <c r="C58" s="50" t="n"/>
      <c r="D58" s="51" t="n"/>
      <c r="E58" s="50" t="n"/>
      <c r="F58" s="50" t="n"/>
      <c r="G58" s="50" t="n"/>
      <c r="H58" s="139" t="n"/>
      <c r="I58" s="139" t="n"/>
      <c r="J58" s="139" t="n"/>
      <c r="K58" s="139" t="n"/>
      <c r="L58" s="139" t="n"/>
    </row>
    <row r="59">
      <c r="A59" s="60">
        <f>TRIM('Patient App'!A127)</f>
        <v/>
      </c>
      <c r="B59" s="60">
        <f>IFERROR(__xludf.DUMMYFUNCTION("IFERROR(TEXTJOIN("", "",TRUE,UNIQUE(FILTER(TRIM('Patient App'!B128:B139),'Patient App'!E128:E139=""Modified""))),"""")"),"Billing")</f>
        <v/>
      </c>
      <c r="C59" s="52" t="inlineStr">
        <is>
          <t>Modified</t>
        </is>
      </c>
      <c r="D59" s="58">
        <f>IFERROR(__xludf.DUMMYFUNCTION("IFERROR(TEXTJOIN(CHAR(10),TRUE,FILTER(""• ""&amp;TRIM('Patient App'!C128:C139)&amp;"": ""&amp;TRIM('Patient App'!D128:D139),'Patient App'!E128:E139=""Modified"")),"""")"),"• AI usage &amp; overage: As a patient, I can see my AI chat usage against my allotment and, when it runs out, top it up by amount (e.g. $10 or $20), while the rest of the app keeps working.")</f>
        <v/>
      </c>
      <c r="E59" s="33" t="inlineStr">
        <is>
          <t>Yes</t>
        </is>
      </c>
      <c r="F59" s="52">
        <f>SUMIFS('Patient App'!G128:G139,'Patient App'!E128:E139,"Modified")-8</f>
        <v/>
      </c>
      <c r="G59" s="52">
        <f>SUMIFS('Patient App'!H128:H139,'Patient App'!E128:E139,"Modified")-4</f>
        <v/>
      </c>
      <c r="H59" s="139" t="n"/>
      <c r="I59" s="139" t="n"/>
      <c r="J59" s="139" t="n"/>
      <c r="K59" s="139" t="n"/>
      <c r="L59" s="139" t="n"/>
    </row>
    <row r="60">
      <c r="A60" s="60" t="n"/>
      <c r="B60" s="60" t="n"/>
      <c r="C60" s="52" t="n"/>
      <c r="D60" s="58" t="inlineStr">
        <is>
          <t>Subtotal: Patient App: Modified Features (delta hours)</t>
        </is>
      </c>
      <c r="E60" s="52" t="n"/>
      <c r="F60" s="52">
        <f>SUM(F59)</f>
        <v/>
      </c>
      <c r="G60" s="52">
        <f>SUM(G59)</f>
        <v/>
      </c>
      <c r="H60" s="139" t="n"/>
      <c r="I60" s="139" t="n"/>
      <c r="J60" s="139" t="n"/>
      <c r="K60" s="139" t="n"/>
      <c r="L60" s="139" t="n"/>
    </row>
    <row r="61">
      <c r="A61" s="60" t="n"/>
      <c r="B61" s="60" t="n"/>
      <c r="C61" s="52" t="n"/>
      <c r="D61" s="58" t="n"/>
      <c r="E61" s="52" t="n"/>
      <c r="F61" s="52" t="n"/>
      <c r="G61" s="52" t="n"/>
      <c r="H61" s="139" t="n"/>
      <c r="I61" s="139" t="n"/>
      <c r="J61" s="139" t="n"/>
      <c r="K61" s="139" t="n"/>
      <c r="L61" s="139" t="n"/>
    </row>
    <row r="62">
      <c r="A62" s="60" t="inlineStr">
        <is>
          <t>COACH PORTAL</t>
        </is>
      </c>
      <c r="B62" s="60" t="n"/>
      <c r="C62" s="52" t="n"/>
      <c r="D62" s="58" t="n"/>
      <c r="E62" s="52" t="n"/>
      <c r="F62" s="52" t="n"/>
      <c r="G62" s="52" t="n"/>
      <c r="H62" s="139" t="n"/>
      <c r="I62" s="139" t="n"/>
      <c r="J62" s="139" t="n"/>
      <c r="K62" s="139" t="n"/>
      <c r="L62" s="139" t="n"/>
    </row>
    <row r="63">
      <c r="A63" s="60" t="inlineStr">
        <is>
          <t>Coach Portal: New Features</t>
        </is>
      </c>
      <c r="B63" s="60" t="n"/>
      <c r="C63" s="52" t="n"/>
      <c r="D63" s="58" t="n"/>
      <c r="E63" s="52" t="n"/>
      <c r="F63" s="52" t="n"/>
      <c r="G63" s="52" t="n"/>
      <c r="H63" s="139" t="n"/>
      <c r="I63" s="139" t="n"/>
      <c r="J63" s="139" t="n"/>
      <c r="K63" s="139" t="n"/>
      <c r="L63" s="139" t="n"/>
    </row>
    <row r="64">
      <c r="A64" s="60" t="n"/>
      <c r="B64" s="60" t="n"/>
      <c r="C64" s="52" t="n"/>
      <c r="D64" s="58" t="inlineStr">
        <is>
          <t>No items</t>
        </is>
      </c>
      <c r="E64" s="52" t="n"/>
      <c r="F64" s="52" t="n"/>
      <c r="G64" s="52" t="n"/>
      <c r="H64" s="139" t="n"/>
      <c r="I64" s="139" t="n"/>
      <c r="J64" s="139" t="n"/>
      <c r="K64" s="139" t="n"/>
      <c r="L64" s="139" t="n"/>
    </row>
    <row r="65">
      <c r="A65" s="60" t="n"/>
      <c r="B65" s="60" t="n"/>
      <c r="C65" s="52" t="n"/>
      <c r="D65" s="58" t="inlineStr">
        <is>
          <t>Subtotal: Coach Portal: New Features</t>
        </is>
      </c>
      <c r="E65" s="52" t="n"/>
      <c r="F65" s="52">
        <f>SUM(F64)</f>
        <v/>
      </c>
      <c r="G65" s="52">
        <f>SUM(G64)</f>
        <v/>
      </c>
      <c r="H65" s="139" t="n"/>
      <c r="I65" s="139" t="n"/>
      <c r="J65" s="139" t="n"/>
      <c r="K65" s="139" t="n"/>
      <c r="L65" s="139" t="n"/>
    </row>
    <row r="66">
      <c r="A66" s="60" t="n"/>
      <c r="B66" s="60" t="n"/>
      <c r="C66" s="52" t="n"/>
      <c r="D66" s="58" t="n"/>
      <c r="E66" s="52" t="n"/>
      <c r="F66" s="52" t="n"/>
      <c r="G66" s="52" t="n"/>
      <c r="H66" s="139" t="n"/>
      <c r="I66" s="139" t="n"/>
      <c r="J66" s="139" t="n"/>
      <c r="K66" s="139" t="n"/>
      <c r="L66" s="139" t="n"/>
    </row>
    <row r="67">
      <c r="A67" s="49" t="inlineStr">
        <is>
          <t>Coach Portal: Modified Features (delta hours)</t>
        </is>
      </c>
      <c r="B67" s="49" t="n"/>
      <c r="C67" s="50" t="n"/>
      <c r="D67" s="51" t="n"/>
      <c r="E67" s="50" t="n"/>
      <c r="F67" s="50" t="n"/>
      <c r="G67" s="50" t="n"/>
      <c r="H67" s="139" t="n"/>
      <c r="I67" s="139" t="n"/>
      <c r="J67" s="139" t="n"/>
      <c r="K67" s="139" t="n"/>
      <c r="L67" s="139" t="n"/>
    </row>
    <row r="68">
      <c r="A68" s="60" t="n"/>
      <c r="B68" s="60" t="n"/>
      <c r="C68" s="52" t="n"/>
      <c r="D68" s="58" t="inlineStr">
        <is>
          <t>No items</t>
        </is>
      </c>
      <c r="E68" s="52" t="n"/>
      <c r="F68" s="52" t="n"/>
      <c r="G68" s="52" t="n"/>
      <c r="H68" s="139" t="n"/>
      <c r="I68" s="139" t="n"/>
      <c r="J68" s="139" t="n"/>
      <c r="K68" s="139" t="n"/>
      <c r="L68" s="139" t="n"/>
    </row>
    <row r="69">
      <c r="A69" s="60" t="n"/>
      <c r="B69" s="60" t="n"/>
      <c r="C69" s="52" t="n"/>
      <c r="D69" s="58" t="inlineStr">
        <is>
          <t>Subtotal: Coach Portal: Modified Features (delta hours)</t>
        </is>
      </c>
      <c r="E69" s="52" t="n"/>
      <c r="F69" s="52">
        <f>SUM(F68)</f>
        <v/>
      </c>
      <c r="G69" s="52">
        <f>SUM(G68)</f>
        <v/>
      </c>
      <c r="H69" s="139" t="n"/>
      <c r="I69" s="139" t="n"/>
      <c r="J69" s="139" t="n"/>
      <c r="K69" s="139" t="n"/>
      <c r="L69" s="139" t="n"/>
    </row>
    <row r="70">
      <c r="A70" s="60" t="n"/>
      <c r="B70" s="60" t="n"/>
      <c r="C70" s="52" t="n"/>
      <c r="D70" s="58" t="n"/>
      <c r="E70" s="52" t="n"/>
      <c r="F70" s="52" t="n"/>
      <c r="G70" s="52" t="n"/>
      <c r="H70" s="139" t="n"/>
      <c r="I70" s="139" t="n"/>
      <c r="J70" s="139" t="n"/>
      <c r="K70" s="139" t="n"/>
      <c r="L70" s="139" t="n"/>
    </row>
    <row r="71">
      <c r="A71" s="60" t="inlineStr">
        <is>
          <t>SHARED BACKEND LAYERS</t>
        </is>
      </c>
      <c r="B71" s="60" t="n"/>
      <c r="C71" s="52" t="n"/>
      <c r="D71" s="58" t="n"/>
      <c r="E71" s="52" t="n"/>
      <c r="F71" s="52" t="n"/>
      <c r="G71" s="52" t="n"/>
      <c r="H71" s="139" t="n"/>
      <c r="I71" s="139" t="n"/>
      <c r="J71" s="139" t="n"/>
      <c r="K71" s="139" t="n"/>
      <c r="L71" s="139" t="n"/>
    </row>
    <row r="72">
      <c r="A72" s="49" t="inlineStr">
        <is>
          <t>Shared Backend Layers: New Features</t>
        </is>
      </c>
      <c r="B72" s="49" t="n"/>
      <c r="C72" s="50" t="n"/>
      <c r="D72" s="51" t="n"/>
      <c r="E72" s="50" t="n"/>
      <c r="F72" s="50" t="n"/>
      <c r="G72" s="50" t="n"/>
      <c r="H72" s="139" t="n"/>
      <c r="I72" s="139" t="n"/>
      <c r="J72" s="139" t="n"/>
      <c r="K72" s="139" t="n"/>
      <c r="L72" s="139" t="n"/>
    </row>
    <row r="73">
      <c r="A73" s="60" t="n"/>
      <c r="B73" s="60" t="n"/>
      <c r="C73" s="52" t="n"/>
      <c r="D73" s="58" t="inlineStr">
        <is>
          <t>No items</t>
        </is>
      </c>
      <c r="E73" s="52" t="n"/>
      <c r="F73" s="52" t="n"/>
      <c r="G73" s="52" t="n"/>
      <c r="H73" s="139" t="n"/>
      <c r="I73" s="139" t="n"/>
      <c r="J73" s="139" t="n"/>
      <c r="K73" s="139" t="n"/>
      <c r="L73" s="139" t="n"/>
    </row>
    <row r="74">
      <c r="A74" s="60" t="n"/>
      <c r="B74" s="60" t="n"/>
      <c r="C74" s="52" t="n"/>
      <c r="D74" s="58" t="inlineStr">
        <is>
          <t>Subtotal: Shared Backend Layers: New Features</t>
        </is>
      </c>
      <c r="E74" s="52" t="n"/>
      <c r="F74" s="52">
        <f>SUM(F73)</f>
        <v/>
      </c>
      <c r="G74" s="52">
        <f>SUM(G73)</f>
        <v/>
      </c>
      <c r="H74" s="139" t="n"/>
      <c r="I74" s="139" t="n"/>
      <c r="J74" s="139" t="n"/>
      <c r="K74" s="139" t="n"/>
      <c r="L74" s="139" t="n"/>
    </row>
    <row r="75">
      <c r="A75" s="60" t="n"/>
      <c r="B75" s="60" t="n"/>
      <c r="C75" s="52" t="n"/>
      <c r="D75" s="58" t="n"/>
      <c r="E75" s="52" t="n"/>
      <c r="F75" s="52" t="n"/>
      <c r="G75" s="52" t="n"/>
      <c r="H75" s="139" t="n"/>
      <c r="I75" s="139" t="n"/>
      <c r="J75" s="139" t="n"/>
      <c r="K75" s="139" t="n"/>
      <c r="L75" s="139" t="n"/>
    </row>
    <row r="76">
      <c r="A76" s="49" t="inlineStr">
        <is>
          <t>Shared Backend Layers: Modified Features (delta hours)</t>
        </is>
      </c>
      <c r="B76" s="49" t="n"/>
      <c r="C76" s="50" t="n"/>
      <c r="D76" s="51" t="n"/>
      <c r="E76" s="50" t="n"/>
      <c r="F76" s="50" t="n"/>
      <c r="G76" s="50" t="n"/>
      <c r="H76" s="139" t="n"/>
      <c r="I76" s="139" t="n"/>
      <c r="J76" s="139" t="n"/>
      <c r="K76" s="139" t="n"/>
      <c r="L76" s="139" t="n"/>
    </row>
    <row r="77">
      <c r="A77" s="60" t="n"/>
      <c r="B77" s="60" t="n"/>
      <c r="C77" s="52" t="n"/>
      <c r="D77" s="58" t="inlineStr">
        <is>
          <t>No items</t>
        </is>
      </c>
      <c r="E77" s="52" t="n"/>
      <c r="F77" s="52" t="n"/>
      <c r="G77" s="52" t="n"/>
      <c r="H77" s="139" t="n"/>
      <c r="I77" s="139" t="n"/>
      <c r="J77" s="139" t="n"/>
      <c r="K77" s="139" t="n"/>
      <c r="L77" s="139" t="n"/>
    </row>
    <row r="78">
      <c r="A78" s="60" t="n"/>
      <c r="B78" s="60" t="n"/>
      <c r="C78" s="52" t="n"/>
      <c r="D78" s="58" t="inlineStr">
        <is>
          <t>Subtotal: Shared Backend Layers: Modified Features (delta hours)</t>
        </is>
      </c>
      <c r="E78" s="52" t="n"/>
      <c r="F78" s="52">
        <f>SUM(F77)</f>
        <v/>
      </c>
      <c r="G78" s="52">
        <f>SUM(G77)</f>
        <v/>
      </c>
      <c r="H78" s="139" t="n"/>
      <c r="I78" s="139" t="n"/>
      <c r="J78" s="139" t="n"/>
      <c r="K78" s="139" t="n"/>
      <c r="L78" s="139" t="n"/>
    </row>
    <row r="79">
      <c r="A79" s="60" t="n"/>
      <c r="B79" s="60" t="n"/>
      <c r="C79" s="52" t="n"/>
      <c r="D79" s="58" t="n"/>
      <c r="E79" s="52" t="n"/>
      <c r="F79" s="52" t="n"/>
      <c r="G79" s="52" t="n"/>
      <c r="H79" s="139" t="n"/>
      <c r="I79" s="139" t="n"/>
      <c r="J79" s="139" t="n"/>
      <c r="K79" s="139" t="n"/>
      <c r="L79" s="139" t="n"/>
    </row>
    <row r="80">
      <c r="A80" s="60" t="inlineStr">
        <is>
          <t>SECTION B: REMOVED AND COVERED FEATURES (ALL PORTALS)</t>
        </is>
      </c>
      <c r="B80" s="60" t="n"/>
      <c r="C80" s="52" t="n"/>
      <c r="D80" s="58" t="n"/>
      <c r="E80" s="52" t="n"/>
      <c r="F80" s="52" t="n"/>
      <c r="G80" s="52" t="n"/>
      <c r="H80" s="139" t="n"/>
      <c r="I80" s="139" t="n"/>
      <c r="J80" s="139" t="n"/>
      <c r="K80" s="139" t="n"/>
      <c r="L80" s="139" t="n"/>
    </row>
    <row r="81">
      <c r="A81" s="49" t="inlineStr">
        <is>
          <t>Super Admin Portal: Removed / Covered</t>
        </is>
      </c>
      <c r="B81" s="49" t="n"/>
      <c r="C81" s="50" t="n"/>
      <c r="D81" s="51" t="n"/>
      <c r="E81" s="50" t="n"/>
      <c r="F81" s="50" t="n"/>
      <c r="G81" s="50" t="n"/>
      <c r="H81" s="139" t="n"/>
      <c r="I81" s="139" t="n"/>
      <c r="J81" s="139" t="n"/>
      <c r="K81" s="139" t="n"/>
      <c r="L81" s="139" t="n"/>
    </row>
    <row r="82">
      <c r="A82" s="60">
        <f>TRIM('Super Admin Portal  Hol Portal'!A10)</f>
        <v/>
      </c>
      <c r="B82" s="60">
        <f>IFERROR(__xludf.DUMMYFUNCTION("IFERROR(TEXTJOIN("", "",TRUE,UNIQUE(FILTER(TRIM('Super Admin Portal  Hol Portal'!B11:B22),'Super Admin Portal  Hol Portal'!E11:E22=""Removed""))),"""")"),"Dashboard")</f>
        <v/>
      </c>
      <c r="C82" s="52" t="inlineStr">
        <is>
          <t>Removed</t>
        </is>
      </c>
      <c r="D82" s="58">
        <f>IFERROR(__xludf.DUMMYFUNCTION("IFERROR(TEXTJOIN(CHAR(10),TRUE,FILTER(""• ""&amp;TRIM('Super Admin Portal  Hol Portal'!C11:C22),'Super Admin Portal  Hol Portal'!E11:E22=""Removed"")),"""")"),"• Care-gap view
• Practice value &amp; renewal")</f>
        <v/>
      </c>
      <c r="E82" s="33" t="inlineStr">
        <is>
          <t>Yes</t>
        </is>
      </c>
      <c r="F82" s="52">
        <f>SUMIFS('Super Admin Portal  Hol Portal'!G11:G22,'Super Admin Portal  Hol Portal'!E11:E22,"Removed")</f>
        <v/>
      </c>
      <c r="G82" s="52">
        <f>SUMIFS('Super Admin Portal  Hol Portal'!H11:H22,'Super Admin Portal  Hol Portal'!E11:E22,"Removed")</f>
        <v/>
      </c>
      <c r="H82" s="139" t="n"/>
      <c r="I82" s="139" t="n"/>
      <c r="J82" s="139" t="n"/>
      <c r="K82" s="139" t="n"/>
      <c r="L82" s="139" t="n"/>
    </row>
    <row r="83">
      <c r="A83" s="60">
        <f>TRIM('Super Admin Portal  Hol Portal'!A23)</f>
        <v/>
      </c>
      <c r="B83" s="60">
        <f>IFERROR(__xludf.DUMMYFUNCTION("IFERROR(TEXTJOIN("", "",TRUE,UNIQUE(FILTER(TRIM('Super Admin Portal  Hol Portal'!B24:B41),'Super Admin Portal  Hol Portal'!E24:E41=""Removed""))),"""")"),"Protocols, Rules, Forecast, Eval, Evidence")</f>
        <v/>
      </c>
      <c r="C83" s="52" t="inlineStr">
        <is>
          <t>Removed</t>
        </is>
      </c>
      <c r="D83" s="58">
        <f>IFERROR(__xludf.DUMMYFUNCTION("IFERROR(TEXTJOIN(CHAR(10),TRUE,FILTER(""• ""&amp;TRIM('Super Admin Portal  Hol Portal'!C24:C41),'Super Admin Portal  Hol Portal'!E24:E41=""Removed"")),"""")"),"• Author protocols
• Versioning
• Approval workflow
• Score weights
• Forecast thresholds
• Regression gate
• Version log
• Source expiry &amp; re-review")</f>
        <v/>
      </c>
      <c r="E83" s="33" t="inlineStr">
        <is>
          <t>Yes</t>
        </is>
      </c>
      <c r="F83" s="52">
        <f>SUMIFS('Super Admin Portal  Hol Portal'!G24:G41,'Super Admin Portal  Hol Portal'!E24:E41,"Removed")</f>
        <v/>
      </c>
      <c r="G83" s="52">
        <f>SUMIFS('Super Admin Portal  Hol Portal'!H24:H41,'Super Admin Portal  Hol Portal'!E24:E41,"Removed")</f>
        <v/>
      </c>
      <c r="H83" s="139" t="n"/>
      <c r="I83" s="139" t="n"/>
      <c r="J83" s="139" t="n"/>
      <c r="K83" s="139" t="n"/>
      <c r="L83" s="139" t="n"/>
    </row>
    <row r="84">
      <c r="A84" s="60">
        <f>TRIM('Super Admin Portal  Hol Portal'!A42)</f>
        <v/>
      </c>
      <c r="B84" s="60">
        <f>IFERROR(__xludf.DUMMYFUNCTION("IFERROR(TEXTJOIN("", "",TRUE,UNIQUE(FILTER(TRIM('Super Admin Portal  Hol Portal'!B43:B54),'Super Admin Portal  Hol Portal'!E43:E54=""Removed""))),"""")"),"Consent")</f>
        <v/>
      </c>
      <c r="C84" s="52" t="inlineStr">
        <is>
          <t>Removed</t>
        </is>
      </c>
      <c r="D84" s="58">
        <f>IFERROR(__xludf.DUMMYFUNCTION("IFERROR(TEXTJOIN(CHAR(10),TRUE,FILTER(""• ""&amp;TRIM('Super Admin Portal  Hol Portal'!C43:C54),'Super Admin Portal  Hol Portal'!E43:E54=""Removed"")),"""")"),"• Consent status")</f>
        <v/>
      </c>
      <c r="E84" s="33" t="inlineStr">
        <is>
          <t>Yes</t>
        </is>
      </c>
      <c r="F84" s="52">
        <f>SUMIFS('Super Admin Portal  Hol Portal'!G43:G54,'Super Admin Portal  Hol Portal'!E43:E54,"Removed")</f>
        <v/>
      </c>
      <c r="G84" s="52">
        <f>SUMIFS('Super Admin Portal  Hol Portal'!H43:H54,'Super Admin Portal  Hol Portal'!E43:E54,"Removed")</f>
        <v/>
      </c>
      <c r="H84" s="139" t="n"/>
      <c r="I84" s="139" t="n"/>
      <c r="J84" s="139" t="n"/>
      <c r="K84" s="139" t="n"/>
      <c r="L84" s="139" t="n"/>
    </row>
    <row r="85">
      <c r="A85" s="60">
        <f>TRIM('Super Admin Portal  Hol Portal'!A67)</f>
        <v/>
      </c>
      <c r="B85" s="60">
        <f>IFERROR(__xludf.DUMMYFUNCTION("IFERROR(TEXTJOIN("", "",TRUE,UNIQUE(FILTER(TRIM('Super Admin Portal  Hol Portal'!B68:B80),'Super Admin Portal  Hol Portal'!E68:E80=""Removed""))),"""")"),"Billing")</f>
        <v/>
      </c>
      <c r="C85" s="52" t="inlineStr">
        <is>
          <t>Removed</t>
        </is>
      </c>
      <c r="D85" s="58">
        <f>IFERROR(__xludf.DUMMYFUNCTION("IFERROR(TEXTJOIN(CHAR(10),TRUE,FILTER(""• ""&amp;TRIM('Super Admin Portal  Hol Portal'!C68:C80),'Super Admin Portal  Hol Portal'!E68:E80=""Removed"")),"""")"),"• Seller-of-record config")</f>
        <v/>
      </c>
      <c r="E85" s="33" t="inlineStr">
        <is>
          <t>Yes</t>
        </is>
      </c>
      <c r="F85" s="52">
        <f>SUMIFS('Super Admin Portal  Hol Portal'!G68:G80,'Super Admin Portal  Hol Portal'!E68:E80,"Removed")</f>
        <v/>
      </c>
      <c r="G85" s="52">
        <f>SUMIFS('Super Admin Portal  Hol Portal'!H68:H80,'Super Admin Portal  Hol Portal'!E68:E80,"Removed")</f>
        <v/>
      </c>
      <c r="H85" s="139" t="n"/>
      <c r="I85" s="139" t="n"/>
      <c r="J85" s="139" t="n"/>
      <c r="K85" s="139" t="n"/>
      <c r="L85" s="139" t="n"/>
    </row>
    <row r="86">
      <c r="A86" s="60" t="n"/>
      <c r="B86" s="60" t="n"/>
      <c r="C86" s="52" t="n"/>
      <c r="D86" s="58" t="inlineStr">
        <is>
          <t>Subtotal: Super Admin Portal: Removed / Covered</t>
        </is>
      </c>
      <c r="E86" s="52" t="n"/>
      <c r="F86" s="52">
        <f>SUM(F82:F85)</f>
        <v/>
      </c>
      <c r="G86" s="52">
        <f>SUM(G82:G85)</f>
        <v/>
      </c>
      <c r="H86" s="139" t="n"/>
      <c r="I86" s="139" t="n"/>
      <c r="J86" s="139" t="n"/>
      <c r="K86" s="139" t="n"/>
      <c r="L86" s="139" t="n"/>
    </row>
    <row r="87">
      <c r="A87" s="60" t="n"/>
      <c r="B87" s="60" t="n"/>
      <c r="C87" s="52" t="n"/>
      <c r="D87" s="58" t="n"/>
      <c r="E87" s="52" t="n"/>
      <c r="F87" s="52" t="n"/>
      <c r="G87" s="52" t="n"/>
      <c r="H87" s="139" t="n"/>
      <c r="I87" s="139" t="n"/>
      <c r="J87" s="139" t="n"/>
      <c r="K87" s="139" t="n"/>
      <c r="L87" s="139" t="n"/>
    </row>
    <row r="88">
      <c r="A88" s="49" t="inlineStr">
        <is>
          <t>Physician Portal: Removed / Covered</t>
        </is>
      </c>
      <c r="B88" s="49" t="n"/>
      <c r="C88" s="50" t="n"/>
      <c r="D88" s="51" t="n"/>
      <c r="E88" s="50" t="n"/>
      <c r="F88" s="50" t="n"/>
      <c r="G88" s="50" t="n"/>
      <c r="H88" s="139" t="n"/>
      <c r="I88" s="139" t="n"/>
      <c r="J88" s="139" t="n"/>
      <c r="K88" s="139" t="n"/>
      <c r="L88" s="139" t="n"/>
    </row>
    <row r="89">
      <c r="A89" s="60">
        <f>TRIM('Physician Portal  Provider port'!A10)</f>
        <v/>
      </c>
      <c r="B89" s="60">
        <f>IFERROR(__xludf.DUMMYFUNCTION("IFERROR(TEXTJOIN("", "",TRUE,UNIQUE(FILTER(TRIM('Physician Portal  Provider port'!B11:B19),'Physician Portal  Provider port'!E11:E19=""Removed""))),"""")"),"Dashboard")</f>
        <v/>
      </c>
      <c r="C89" s="52" t="inlineStr">
        <is>
          <t>Removed</t>
        </is>
      </c>
      <c r="D89" s="58">
        <f>IFERROR(__xludf.DUMMYFUNCTION("IFERROR(TEXTJOIN(CHAR(10),TRUE,FILTER(""• ""&amp;TRIM('Physician Portal  Provider port'!C11:C19),'Physician Portal  Provider port'!E11:E19=""Removed"")),"""")"),"• Engagement metrics
• Outcome changes
• Physician review time
• Value &amp; renewal metrics")</f>
        <v/>
      </c>
      <c r="E89" s="33" t="inlineStr">
        <is>
          <t>Yes</t>
        </is>
      </c>
      <c r="F89" s="52">
        <f>SUMIFS('Physician Portal  Provider port'!G11:G19,'Physician Portal  Provider port'!E11:E19,"Removed")</f>
        <v/>
      </c>
      <c r="G89" s="52">
        <f>SUMIFS('Physician Portal  Provider port'!H11:H19,'Physician Portal  Provider port'!E11:E19,"Removed")</f>
        <v/>
      </c>
      <c r="H89" s="139" t="n"/>
      <c r="I89" s="139" t="n"/>
      <c r="J89" s="139" t="n"/>
      <c r="K89" s="139" t="n"/>
      <c r="L89" s="139" t="n"/>
    </row>
    <row r="90">
      <c r="A90" s="60">
        <f>TRIM('Physician Portal  Provider port'!A20)</f>
        <v/>
      </c>
      <c r="B90" s="60">
        <f>IFERROR(__xludf.DUMMYFUNCTION("IFERROR(TEXTJOIN("", "",TRUE,UNIQUE(FILTER(TRIM('Physician Portal  Provider port'!B21:B33),'Physician Portal  Provider port'!E21:E33=""Removed""))),"""")"),"Patient")</f>
        <v/>
      </c>
      <c r="C90" s="52" t="inlineStr">
        <is>
          <t>Removed</t>
        </is>
      </c>
      <c r="D90" s="58">
        <f>IFERROR(__xludf.DUMMYFUNCTION("IFERROR(TEXTJOIN(CHAR(10),TRUE,FILTER(""• ""&amp;TRIM('Physician Portal  Provider port'!C21:C33),'Physician Portal  Provider port'!E21:E33=""Removed"")),"""")"),"• Patient’s HOL summary")</f>
        <v/>
      </c>
      <c r="E90" s="33" t="inlineStr">
        <is>
          <t>Yes</t>
        </is>
      </c>
      <c r="F90" s="52">
        <f>SUMIFS('Physician Portal  Provider port'!G21:G33,'Physician Portal  Provider port'!E21:E33,"Removed")</f>
        <v/>
      </c>
      <c r="G90" s="52">
        <f>SUMIFS('Physician Portal  Provider port'!H21:H33,'Physician Portal  Provider port'!E21:E33,"Removed")</f>
        <v/>
      </c>
      <c r="H90" s="139" t="n"/>
      <c r="I90" s="139" t="n"/>
      <c r="J90" s="139" t="n"/>
      <c r="K90" s="139" t="n"/>
      <c r="L90" s="139" t="n"/>
    </row>
    <row r="91">
      <c r="A91" s="60">
        <f>TRIM('Physician Portal  Provider port'!A55)</f>
        <v/>
      </c>
      <c r="B91" s="60">
        <f>IFERROR(__xludf.DUMMYFUNCTION("IFERROR(TEXTJOIN("", "",TRUE,UNIQUE(FILTER(TRIM('Physician Portal  Provider port'!B56:B59),'Physician Portal  Provider port'!E56:E59=""Removed""))),"""")"),"Report review")</f>
        <v/>
      </c>
      <c r="C91" s="52" t="inlineStr">
        <is>
          <t>Removed</t>
        </is>
      </c>
      <c r="D91" s="58">
        <f>IFERROR(__xludf.DUMMYFUNCTION("IFERROR(TEXTJOIN(CHAR(10),TRUE,FILTER(""• ""&amp;TRIM('Physician Portal  Provider port'!C56:C59),'Physician Portal  Provider port'!E56:E59=""Removed"")),"""")"),"• Review AI report
• Approve / edit / reject
• Release to patient
• Batch &amp; review time")</f>
        <v/>
      </c>
      <c r="E91" s="33" t="inlineStr">
        <is>
          <t>Yes</t>
        </is>
      </c>
      <c r="F91" s="52">
        <f>SUMIFS('Physician Portal  Provider port'!G56:G59,'Physician Portal  Provider port'!E56:E59,"Removed")</f>
        <v/>
      </c>
      <c r="G91" s="52">
        <f>SUMIFS('Physician Portal  Provider port'!H56:H59,'Physician Portal  Provider port'!E56:E59,"Removed")</f>
        <v/>
      </c>
      <c r="H91" s="139" t="n"/>
      <c r="I91" s="139" t="n"/>
      <c r="J91" s="139" t="n"/>
      <c r="K91" s="139" t="n"/>
      <c r="L91" s="139" t="n"/>
    </row>
    <row r="92">
      <c r="A92" s="60">
        <f>TRIM('Physician Portal  Provider port'!A104)</f>
        <v/>
      </c>
      <c r="B92" s="60">
        <f>IFERROR(__xludf.DUMMYFUNCTION("IFERROR(TEXTJOIN("", "",TRUE,UNIQUE(FILTER(TRIM('Physician Portal  Provider port'!B105:B106),'Physician Portal  Provider port'!E105:E106=""Removed""))),"""")"),"Plan builder")</f>
        <v/>
      </c>
      <c r="C92" s="52" t="inlineStr">
        <is>
          <t>Removed</t>
        </is>
      </c>
      <c r="D92" s="58">
        <f>IFERROR(__xludf.DUMMYFUNCTION("IFERROR(TEXTJOIN(CHAR(10),TRUE,FILTER(""• ""&amp;TRIM('Physician Portal  Provider port'!C105:C106),'Physician Portal  Provider port'!E105:E106=""Removed"")),"""")"),"• Goals &amp; interventions
• Approve goals")</f>
        <v/>
      </c>
      <c r="E92" s="33" t="inlineStr">
        <is>
          <t>Yes</t>
        </is>
      </c>
      <c r="F92" s="52">
        <f>SUMIFS('Physician Portal  Provider port'!G105:G106,'Physician Portal  Provider port'!E105:E106,"Removed")</f>
        <v/>
      </c>
      <c r="G92" s="52">
        <f>SUMIFS('Physician Portal  Provider port'!H105:H106,'Physician Portal  Provider port'!E105:E106,"Removed")</f>
        <v/>
      </c>
      <c r="H92" s="139" t="n"/>
      <c r="I92" s="139" t="n"/>
      <c r="J92" s="139" t="n"/>
      <c r="K92" s="139" t="n"/>
      <c r="L92" s="139" t="n"/>
    </row>
    <row r="93">
      <c r="A93" s="60">
        <f>TRIM('Physician Portal  Provider port'!A107)</f>
        <v/>
      </c>
      <c r="B93" s="60">
        <f>IFERROR(__xludf.DUMMYFUNCTION("IFERROR(TEXTJOIN("", "",TRUE,UNIQUE(FILTER(TRIM('Physician Portal  Provider port'!B108:B109),'Physician Portal  Provider port'!E108:E109=""Removed""))),"""")"),"Alerts")</f>
        <v/>
      </c>
      <c r="C93" s="52" t="inlineStr">
        <is>
          <t>Removed</t>
        </is>
      </c>
      <c r="D93" s="58">
        <f>IFERROR(__xludf.DUMMYFUNCTION("IFERROR(TEXTJOIN(CHAR(10),TRUE,FILTER(""• ""&amp;TRIM('Physician Portal  Provider port'!C108:C109),'Physician Portal  Provider port'!E108:E109=""Removed"")),"""")"),"• Acknowledge &amp; route")</f>
        <v/>
      </c>
      <c r="E93" s="33" t="inlineStr">
        <is>
          <t>Yes</t>
        </is>
      </c>
      <c r="F93" s="52">
        <f>SUMIFS('Physician Portal  Provider port'!G108:G109,'Physician Portal  Provider port'!E108:E109,"Removed")</f>
        <v/>
      </c>
      <c r="G93" s="52">
        <f>SUMIFS('Physician Portal  Provider port'!H108:H109,'Physician Portal  Provider port'!E108:E109,"Removed")</f>
        <v/>
      </c>
      <c r="H93" s="139" t="n"/>
      <c r="I93" s="139" t="n"/>
      <c r="J93" s="139" t="n"/>
      <c r="K93" s="139" t="n"/>
      <c r="L93" s="139" t="n"/>
    </row>
    <row r="94">
      <c r="A94" s="60">
        <f>TRIM('Physician Portal  Provider port'!A110)</f>
        <v/>
      </c>
      <c r="B94" s="60">
        <f>IFERROR(__xludf.DUMMYFUNCTION("IFERROR(TEXTJOIN("", "",TRUE,UNIQUE(FILTER(TRIM('Physician Portal  Provider port'!B111:B117),'Physician Portal  Provider port'!E111:E117=""Removed""))),"""")"),"Billing")</f>
        <v/>
      </c>
      <c r="C94" s="52" t="inlineStr">
        <is>
          <t>Removed</t>
        </is>
      </c>
      <c r="D94" s="58">
        <f>IFERROR(__xludf.DUMMYFUNCTION("IFERROR(TEXTJOIN(CHAR(10),TRUE,FILTER(""• ""&amp;TRIM('Physician Portal  Provider port'!C111:C117),'Physician Portal  Provider port'!E111:E117=""Removed"")),"""")"),"• Revenue-share statements
• Physician review fee")</f>
        <v/>
      </c>
      <c r="E94" s="33" t="inlineStr">
        <is>
          <t>Yes</t>
        </is>
      </c>
      <c r="F94" s="52">
        <f>SUMIFS('Physician Portal  Provider port'!G111:G117,'Physician Portal  Provider port'!E111:E117,"Removed")</f>
        <v/>
      </c>
      <c r="G94" s="52">
        <f>SUMIFS('Physician Portal  Provider port'!H111:H117,'Physician Portal  Provider port'!E111:E117,"Removed")</f>
        <v/>
      </c>
      <c r="H94" s="139" t="n"/>
      <c r="I94" s="139" t="n"/>
      <c r="J94" s="139" t="n"/>
      <c r="K94" s="139" t="n"/>
      <c r="L94" s="139" t="n"/>
    </row>
    <row r="95">
      <c r="A95" s="60">
        <f>TRIM('Physician Portal  Provider port'!A118)</f>
        <v/>
      </c>
      <c r="B95" s="60">
        <f>IFERROR(__xludf.DUMMYFUNCTION("IFERROR(TEXTJOIN("", "",TRUE,UNIQUE(FILTER(TRIM('Physician Portal  Provider port'!B119:B125),'Physician Portal  Provider port'!E119:E125=""Removed""))),"""")"),"Billing")</f>
        <v/>
      </c>
      <c r="C95" s="52" t="inlineStr">
        <is>
          <t>Removed</t>
        </is>
      </c>
      <c r="D95" s="58">
        <f>IFERROR(__xludf.DUMMYFUNCTION("IFERROR(TEXTJOIN(CHAR(10),TRUE,FILTER(""• ""&amp;TRIM('Physician Portal  Provider port'!C119:C125),'Physician Portal  Provider port'!E119:E125=""Removed"")),"""")"),"• Entitlements")</f>
        <v/>
      </c>
      <c r="E95" s="33" t="inlineStr">
        <is>
          <t>Yes</t>
        </is>
      </c>
      <c r="F95" s="52">
        <f>SUMIFS('Physician Portal  Provider port'!G119:G125,'Physician Portal  Provider port'!E119:E125,"Removed")</f>
        <v/>
      </c>
      <c r="G95" s="52">
        <f>SUMIFS('Physician Portal  Provider port'!H119:H125,'Physician Portal  Provider port'!E119:E125,"Removed")</f>
        <v/>
      </c>
      <c r="H95" s="139" t="n"/>
      <c r="I95" s="139" t="n"/>
      <c r="J95" s="139" t="n"/>
      <c r="K95" s="139" t="n"/>
      <c r="L95" s="139" t="n"/>
    </row>
    <row r="96">
      <c r="A96" s="60" t="n"/>
      <c r="B96" s="60" t="n"/>
      <c r="C96" s="52" t="n"/>
      <c r="D96" s="58" t="inlineStr">
        <is>
          <t>Subtotal: Physician Portal: Removed / Covered</t>
        </is>
      </c>
      <c r="E96" s="52" t="n"/>
      <c r="F96" s="52">
        <f>SUM(F89:F95)</f>
        <v/>
      </c>
      <c r="G96" s="52">
        <f>SUM(G89:G95)</f>
        <v/>
      </c>
      <c r="H96" s="139" t="n"/>
      <c r="I96" s="139" t="n"/>
      <c r="J96" s="139" t="n"/>
      <c r="K96" s="139" t="n"/>
      <c r="L96" s="139" t="n"/>
    </row>
    <row r="97">
      <c r="A97" s="60" t="n"/>
      <c r="B97" s="60" t="n"/>
      <c r="C97" s="52" t="n"/>
      <c r="D97" s="58" t="n"/>
      <c r="E97" s="52" t="n"/>
      <c r="F97" s="52" t="n"/>
      <c r="G97" s="52" t="n"/>
      <c r="H97" s="139" t="n"/>
      <c r="I97" s="139" t="n"/>
      <c r="J97" s="139" t="n"/>
      <c r="K97" s="139" t="n"/>
      <c r="L97" s="139" t="n"/>
    </row>
    <row r="98">
      <c r="A98" s="60" t="inlineStr">
        <is>
          <t>Patient App: Removed / Covered</t>
        </is>
      </c>
      <c r="B98" s="60" t="n"/>
      <c r="C98" s="52" t="n"/>
      <c r="D98" s="58" t="n"/>
      <c r="E98" s="52" t="n"/>
      <c r="F98" s="52" t="n"/>
      <c r="G98" s="52" t="n"/>
      <c r="H98" s="139" t="n"/>
      <c r="I98" s="139" t="n"/>
      <c r="J98" s="139" t="n"/>
      <c r="K98" s="139" t="n"/>
      <c r="L98" s="139" t="n"/>
    </row>
    <row r="99">
      <c r="A99" s="60">
        <f>TRIM('Patient App'!A17)</f>
        <v/>
      </c>
      <c r="B99" s="60">
        <f>IFERROR(__xludf.DUMMYFUNCTION("IFERROR(TEXTJOIN("", "",TRUE,UNIQUE(FILTER(TRIM('Patient App'!B18:B21),'Patient App'!E18:E21=""Removed""))),"""")"),"Intake &amp; goals")</f>
        <v/>
      </c>
      <c r="C99" s="52" t="inlineStr">
        <is>
          <t>Removed</t>
        </is>
      </c>
      <c r="D99" s="58">
        <f>IFERROR(__xludf.DUMMYFUNCTION("IFERROR(TEXTJOIN(CHAR(10),TRUE,FILTER(""• ""&amp;TRIM('Patient App'!C18:C21),'Patient App'!E18:E21=""Removed"")),"""")"),"• AI-guided intake
• Save &amp; resume
• Select goals")</f>
        <v/>
      </c>
      <c r="E99" s="33" t="inlineStr">
        <is>
          <t>Yes</t>
        </is>
      </c>
      <c r="F99" s="52">
        <f>SUMIFS('Patient App'!G18:G21,'Patient App'!E18:E21,"Removed")</f>
        <v/>
      </c>
      <c r="G99" s="52">
        <f>SUMIFS('Patient App'!H18:H21,'Patient App'!E18:E21,"Removed")</f>
        <v/>
      </c>
      <c r="H99" s="139" t="n"/>
      <c r="I99" s="139" t="n"/>
      <c r="J99" s="139" t="n"/>
      <c r="K99" s="139" t="n"/>
      <c r="L99" s="139" t="n"/>
    </row>
    <row r="100">
      <c r="A100" s="60">
        <f>TRIM('Patient App'!A22)</f>
        <v/>
      </c>
      <c r="B100" s="60">
        <f>IFERROR(__xludf.DUMMYFUNCTION("IFERROR(TEXTJOIN("", "",TRUE,UNIQUE(FILTER(TRIM('Patient App'!B23:B31),'Patient App'!E23:E31=""Removed""))),"""")"),"Data connections")</f>
        <v/>
      </c>
      <c r="C100" s="52" t="inlineStr">
        <is>
          <t>Removed</t>
        </is>
      </c>
      <c r="D100" s="58">
        <f>IFERROR(__xludf.DUMMYFUNCTION("IFERROR(TEXTJOIN(CHAR(10),TRUE,FILTER(""• ""&amp;TRIM('Patient App'!C23:C31),'Patient App'!E23:E31=""Removed"")),"""")"),"• Authorize EMR
• Multi-hospital auth
• Revoke access
• Upload report
• Extraction preview")</f>
        <v/>
      </c>
      <c r="E100" s="33" t="inlineStr">
        <is>
          <t>Yes</t>
        </is>
      </c>
      <c r="F100" s="52">
        <f>SUMIFS('Patient App'!G23:G31,'Patient App'!E23:E31,"Removed")</f>
        <v/>
      </c>
      <c r="G100" s="52">
        <f>SUMIFS('Patient App'!H23:H31,'Patient App'!E23:E31,"Removed")</f>
        <v/>
      </c>
      <c r="H100" s="139" t="n"/>
      <c r="I100" s="139" t="n"/>
      <c r="J100" s="139" t="n"/>
      <c r="K100" s="139" t="n"/>
      <c r="L100" s="139" t="n"/>
    </row>
    <row r="101">
      <c r="A101" s="60">
        <f>TRIM('Patient App'!A54)</f>
        <v/>
      </c>
      <c r="B101" s="60">
        <f>IFERROR(__xludf.DUMMYFUNCTION("IFERROR(TEXTJOIN("", "",TRUE,UNIQUE(FILTER(TRIM('Patient App'!B55:B66),'Patient App'!E55:E66=""Removed""))),"""")"),"Health record")</f>
        <v/>
      </c>
      <c r="C101" s="52" t="inlineStr">
        <is>
          <t>Removed</t>
        </is>
      </c>
      <c r="D101" s="58">
        <f>IFERROR(__xludf.DUMMYFUNCTION("IFERROR(TEXTJOIN(CHAR(10),TRUE,FILTER(""• ""&amp;TRIM('Patient App'!C55:C66),'Patient App'!E55:E66=""Removed"")),"""")"),"• Gauge view &amp; filters")</f>
        <v/>
      </c>
      <c r="E101" s="33" t="inlineStr">
        <is>
          <t>Yes</t>
        </is>
      </c>
      <c r="F101" s="52">
        <f>SUMIFS('Patient App'!G55:G66,'Patient App'!E55:E66,"Removed")</f>
        <v/>
      </c>
      <c r="G101" s="52">
        <f>SUMIFS('Patient App'!H55:H66,'Patient App'!E55:E66,"Removed")</f>
        <v/>
      </c>
      <c r="H101" s="139" t="n"/>
      <c r="I101" s="139" t="n"/>
      <c r="J101" s="139" t="n"/>
      <c r="K101" s="139" t="n"/>
      <c r="L101" s="139" t="n"/>
    </row>
    <row r="102">
      <c r="A102" s="60">
        <f>TRIM('Patient App'!A67)</f>
        <v/>
      </c>
      <c r="B102" s="60">
        <f>IFERROR(__xludf.DUMMYFUNCTION("IFERROR(TEXTJOIN("", "",TRUE,UNIQUE(FILTER(TRIM('Patient App'!B68:B90),'Patient App'!E68:E90=""Removed""))),"""")"),"Plan &amp; tasks")</f>
        <v/>
      </c>
      <c r="C102" s="52" t="inlineStr">
        <is>
          <t>Removed</t>
        </is>
      </c>
      <c r="D102" s="58">
        <f>IFERROR(__xludf.DUMMYFUNCTION("IFERROR(TEXTJOIN(CHAR(10),TRUE,FILTER(""• ""&amp;TRIM('Patient App'!C68:C90),'Patient App'!E68:E90=""Removed"")),"""")"),"• Daily/weekly actions
• Check-ins
• Adherence logging
• Mindfulness &amp; stress")</f>
        <v/>
      </c>
      <c r="E102" s="33" t="inlineStr">
        <is>
          <t>Yes</t>
        </is>
      </c>
      <c r="F102" s="52">
        <f>SUMIFS('Patient App'!G68:G90,'Patient App'!E68:E90,"Removed")</f>
        <v/>
      </c>
      <c r="G102" s="52">
        <f>SUMIFS('Patient App'!H68:H90,'Patient App'!E68:E90,"Removed")</f>
        <v/>
      </c>
      <c r="H102" s="139" t="n"/>
      <c r="I102" s="139" t="n"/>
      <c r="J102" s="139" t="n"/>
      <c r="K102" s="139" t="n"/>
      <c r="L102" s="139" t="n"/>
    </row>
    <row r="103">
      <c r="A103" s="60">
        <f>TRIM('Patient App'!A105)</f>
        <v/>
      </c>
      <c r="B103" s="60">
        <f>IFERROR(__xludf.DUMMYFUNCTION("IFERROR(TEXTJOIN("", "",TRUE,UNIQUE(FILTER(TRIM('Patient App'!B106:B123),'Patient App'!E106:E123=""Removed""))),"""")"),"Chat, Why HOL said this")</f>
        <v/>
      </c>
      <c r="C103" s="52" t="inlineStr">
        <is>
          <t>Removed</t>
        </is>
      </c>
      <c r="D103" s="58">
        <f>IFERROR(__xludf.DUMMYFUNCTION("IFERROR(TEXTJOIN(CHAR(10),TRUE,FILTER(""• ""&amp;TRIM('Patient App'!C106:C123),'Patient App'!E106:E123=""Removed"")),"""")"),"• Safety template
• Refuse &amp; route clinical
• Emergency redirect
• Answer traceability view
• Monitoring-limits disclosure")</f>
        <v/>
      </c>
      <c r="E103" s="33" t="inlineStr">
        <is>
          <t>Yes</t>
        </is>
      </c>
      <c r="F103" s="52">
        <f>SUMIFS('Patient App'!G106:G123,'Patient App'!E106:E123,"Removed")</f>
        <v/>
      </c>
      <c r="G103" s="52">
        <f>SUMIFS('Patient App'!H106:H123,'Patient App'!E106:E123,"Removed")</f>
        <v/>
      </c>
      <c r="H103" s="139" t="n"/>
      <c r="I103" s="139" t="n"/>
      <c r="J103" s="139" t="n"/>
      <c r="K103" s="139" t="n"/>
      <c r="L103" s="139" t="n"/>
    </row>
    <row r="104">
      <c r="A104" s="60">
        <f>TRIM('Patient App'!A124)</f>
        <v/>
      </c>
      <c r="B104" s="60">
        <f>IFERROR(__xludf.DUMMYFUNCTION("IFERROR(TEXTJOIN("", "",TRUE,UNIQUE(FILTER(TRIM('Patient App'!B125:B126),'Patient App'!E125:E126=""Removed""))),"""")"),"Messages")</f>
        <v/>
      </c>
      <c r="C104" s="52" t="inlineStr">
        <is>
          <t>Removed</t>
        </is>
      </c>
      <c r="D104" s="58">
        <f>IFERROR(__xludf.DUMMYFUNCTION("IFERROR(TEXTJOIN(CHAR(10),TRUE,FILTER(""• ""&amp;TRIM('Patient App'!C125:C126),'Patient App'!E125:E126=""Removed"")),"""")"),"• Message care team
• Book &amp; message coach")</f>
        <v/>
      </c>
      <c r="E104" s="33" t="inlineStr">
        <is>
          <t>Yes</t>
        </is>
      </c>
      <c r="F104" s="52">
        <f>SUMIFS('Patient App'!G125:G126,'Patient App'!E125:E126,"Removed")</f>
        <v/>
      </c>
      <c r="G104" s="52">
        <f>SUMIFS('Patient App'!H125:H126,'Patient App'!E125:E126,"Removed")</f>
        <v/>
      </c>
      <c r="H104" s="139" t="n"/>
      <c r="I104" s="139" t="n"/>
      <c r="J104" s="139" t="n"/>
      <c r="K104" s="139" t="n"/>
      <c r="L104" s="139" t="n"/>
    </row>
    <row r="105">
      <c r="A105" s="60">
        <f>TRIM('Patient App'!A127)</f>
        <v/>
      </c>
      <c r="B105" s="60">
        <f>IFERROR(__xludf.DUMMYFUNCTION("IFERROR(TEXTJOIN("", "",TRUE,UNIQUE(FILTER(TRIM('Patient App'!B128:B139),'Patient App'!E128:E139=""Removed""))),"""")"),"Billing")</f>
        <v/>
      </c>
      <c r="C105" s="52" t="inlineStr">
        <is>
          <t>Removed</t>
        </is>
      </c>
      <c r="D105" s="58">
        <f>IFERROR(__xludf.DUMMYFUNCTION("IFERROR(TEXTJOIN(CHAR(10),TRUE,FILTER(""• ""&amp;TRIM('Patient App'!C128:C139),'Patient App'!E128:E139=""Removed"")),"""")"),"• Payment methods
• Pay &amp; BNPL")</f>
        <v/>
      </c>
      <c r="E105" s="33" t="inlineStr">
        <is>
          <t>Yes</t>
        </is>
      </c>
      <c r="F105" s="52">
        <f>SUMIFS('Patient App'!G128:G139,'Patient App'!E128:E139,"Removed")</f>
        <v/>
      </c>
      <c r="G105" s="52">
        <f>SUMIFS('Patient App'!H128:H139,'Patient App'!E128:E139,"Removed")</f>
        <v/>
      </c>
      <c r="H105" s="139" t="n"/>
      <c r="I105" s="139" t="n"/>
      <c r="J105" s="139" t="n"/>
      <c r="K105" s="139" t="n"/>
      <c r="L105" s="139" t="n"/>
    </row>
    <row r="106">
      <c r="A106" s="60">
        <f>TRIM('Patient App'!A146)</f>
        <v/>
      </c>
      <c r="B106" s="60">
        <f>IFERROR(__xludf.DUMMYFUNCTION("IFERROR(TEXTJOIN("", "",TRUE,UNIQUE(FILTER(TRIM('Patient App'!B147:B151),'Patient App'!E147:E151=""Removed""))),"""")"),"Reports")</f>
        <v/>
      </c>
      <c r="C106" s="52" t="inlineStr">
        <is>
          <t>Removed</t>
        </is>
      </c>
      <c r="D106" s="58">
        <f>IFERROR(__xludf.DUMMYFUNCTION("IFERROR(TEXTJOIN(CHAR(10),TRUE,FILTER(""• ""&amp;TRIM('Patient App'!C147:C151),'Patient App'!E147:E151=""Removed"")),"""")"),"• View approved report
• L / M split &amp; provenance
• Quarter-over-quarter
• View monthly summary
• Progress survey")</f>
        <v/>
      </c>
      <c r="E106" s="33" t="inlineStr">
        <is>
          <t>Yes</t>
        </is>
      </c>
      <c r="F106" s="52">
        <f>SUMIFS('Patient App'!G147:G151,'Patient App'!E147:E151,"Removed")</f>
        <v/>
      </c>
      <c r="G106" s="52">
        <f>SUMIFS('Patient App'!H147:H151,'Patient App'!E147:E151,"Removed")</f>
        <v/>
      </c>
      <c r="H106" s="139" t="n"/>
      <c r="I106" s="139" t="n"/>
      <c r="J106" s="139" t="n"/>
      <c r="K106" s="139" t="n"/>
      <c r="L106" s="139" t="n"/>
    </row>
    <row r="107">
      <c r="A107" s="60" t="n"/>
      <c r="B107" s="60" t="n"/>
      <c r="C107" s="52" t="n"/>
      <c r="D107" s="58" t="inlineStr">
        <is>
          <t>Subtotal: Patient App: Removed / Covered</t>
        </is>
      </c>
      <c r="E107" s="52" t="n"/>
      <c r="F107" s="52">
        <f>SUM(F99:F106)</f>
        <v/>
      </c>
      <c r="G107" s="52">
        <f>SUM(G99:G106)</f>
        <v/>
      </c>
      <c r="H107" s="139" t="n"/>
      <c r="I107" s="139" t="n"/>
      <c r="J107" s="139" t="n"/>
      <c r="K107" s="139" t="n"/>
      <c r="L107" s="139" t="n"/>
    </row>
    <row r="108">
      <c r="A108" s="60" t="n"/>
      <c r="B108" s="60" t="n"/>
      <c r="C108" s="52" t="n"/>
      <c r="D108" s="58" t="n"/>
      <c r="E108" s="52" t="n"/>
      <c r="F108" s="52" t="n"/>
      <c r="G108" s="52" t="n"/>
      <c r="H108" s="139" t="n"/>
      <c r="I108" s="139" t="n"/>
      <c r="J108" s="139" t="n"/>
      <c r="K108" s="139" t="n"/>
      <c r="L108" s="139" t="n"/>
    </row>
    <row r="109">
      <c r="A109" s="60" t="inlineStr">
        <is>
          <t>Coach Portal: Removed / Covered</t>
        </is>
      </c>
      <c r="B109" s="60" t="n"/>
      <c r="C109" s="52" t="n"/>
      <c r="D109" s="58" t="n"/>
      <c r="E109" s="52" t="n"/>
      <c r="F109" s="52" t="n"/>
      <c r="G109" s="52" t="n"/>
      <c r="H109" s="139" t="n"/>
      <c r="I109" s="139" t="n"/>
      <c r="J109" s="139" t="n"/>
      <c r="K109" s="139" t="n"/>
      <c r="L109" s="139" t="n"/>
    </row>
    <row r="110">
      <c r="A110" s="60">
        <f>TRIM('Coach Portal'!A3)</f>
        <v/>
      </c>
      <c r="B110" s="60">
        <f>IFERROR(__xludf.DUMMYFUNCTION("IFERROR(TEXTJOIN("", "",TRUE,UNIQUE(FILTER(TRIM('Coach Portal'!B4:B5),'Coach Portal'!G4:G5=""Removed""))),"""")"),"Auth")</f>
        <v/>
      </c>
      <c r="C110" s="52" t="inlineStr">
        <is>
          <t>Removed</t>
        </is>
      </c>
      <c r="D110" s="58">
        <f>IFERROR(__xludf.DUMMYFUNCTION("IFERROR(TEXTJOIN(CHAR(10),TRUE,FILTER(""• ""&amp;TRIM('Coach Portal'!C4:C5),'Coach Portal'!G4:G5=""Removed"")),"""")"),"• Login &amp; MFA
• Scoped access (RBAC)")</f>
        <v/>
      </c>
      <c r="E110" s="33" t="inlineStr">
        <is>
          <t>Yes</t>
        </is>
      </c>
      <c r="F110" s="52">
        <f>SUMIFS('Coach Portal'!H4:H5,'Coach Portal'!G4:G5,"Removed")</f>
        <v/>
      </c>
      <c r="G110" s="52">
        <f>SUMIFS('Coach Portal'!I4:I5,'Coach Portal'!G4:G5,"Removed")</f>
        <v/>
      </c>
      <c r="H110" s="139" t="n"/>
      <c r="I110" s="139" t="n"/>
      <c r="J110" s="139" t="n"/>
      <c r="K110" s="139" t="n"/>
      <c r="L110" s="139" t="n"/>
    </row>
    <row r="111">
      <c r="A111" s="60">
        <f>TRIM('Coach Portal'!A6)</f>
        <v/>
      </c>
      <c r="B111" s="60">
        <f>IFERROR(__xludf.DUMMYFUNCTION("IFERROR(TEXTJOIN("", "",TRUE,UNIQUE(FILTER(TRIM('Coach Portal'!B7:B10),'Coach Portal'!G7:G10=""Removed""))),"""")"),"Context")</f>
        <v/>
      </c>
      <c r="C111" s="52" t="inlineStr">
        <is>
          <t>Removed</t>
        </is>
      </c>
      <c r="D111" s="58">
        <f>IFERROR(__xludf.DUMMYFUNCTION("IFERROR(TEXTJOIN(CHAR(10),TRUE,FILTER(""• ""&amp;TRIM('Coach Portal'!C7:C10),'Coach Portal'!G7:G10=""Removed"")),"""")"),"• Assigned patient list
• Physician-approved goals
• Lifestyle plan
• Adherence view")</f>
        <v/>
      </c>
      <c r="E111" s="33" t="inlineStr">
        <is>
          <t>Yes</t>
        </is>
      </c>
      <c r="F111" s="52">
        <f>SUMIFS('Coach Portal'!H7:H10,'Coach Portal'!G7:G10,"Removed")</f>
        <v/>
      </c>
      <c r="G111" s="52">
        <f>SUMIFS('Coach Portal'!I7:I10,'Coach Portal'!G7:G10,"Removed")</f>
        <v/>
      </c>
      <c r="H111" s="139" t="n"/>
      <c r="I111" s="139" t="n"/>
      <c r="J111" s="139" t="n"/>
      <c r="K111" s="139" t="n"/>
      <c r="L111" s="139" t="n"/>
    </row>
    <row r="112">
      <c r="A112" s="60">
        <f>TRIM('Coach Portal'!A11)</f>
        <v/>
      </c>
      <c r="B112" s="60">
        <f>IFERROR(__xludf.DUMMYFUNCTION("IFERROR(TEXTJOIN("", "",TRUE,UNIQUE(FILTER(TRIM('Coach Portal'!B12:B13),'Coach Portal'!G12:G13=""Removed""))),"""")"),"Scheduling")</f>
        <v/>
      </c>
      <c r="C112" s="52" t="inlineStr">
        <is>
          <t>Removed</t>
        </is>
      </c>
      <c r="D112" s="58">
        <f>IFERROR(__xludf.DUMMYFUNCTION("IFERROR(TEXTJOIN(CHAR(10),TRUE,FILTER(""• ""&amp;TRIM('Coach Portal'!C12:C13),'Coach Portal'!G12:G13=""Removed"")),"""")"),"• View &amp; manage sessions
• Availability")</f>
        <v/>
      </c>
      <c r="E112" s="33" t="inlineStr">
        <is>
          <t>Yes</t>
        </is>
      </c>
      <c r="F112" s="52">
        <f>SUMIFS('Coach Portal'!H12:H13,'Coach Portal'!G12:G13,"Removed")</f>
        <v/>
      </c>
      <c r="G112" s="52">
        <f>SUMIFS('Coach Portal'!I12:I13,'Coach Portal'!G12:G13,"Removed")</f>
        <v/>
      </c>
      <c r="H112" s="139" t="n"/>
      <c r="I112" s="139" t="n"/>
      <c r="J112" s="139" t="n"/>
      <c r="K112" s="139" t="n"/>
      <c r="L112" s="139" t="n"/>
    </row>
    <row r="113">
      <c r="A113" s="60">
        <f>TRIM('Coach Portal'!A14)</f>
        <v/>
      </c>
      <c r="B113" s="60">
        <f>IFERROR(__xludf.DUMMYFUNCTION("IFERROR(TEXTJOIN("", "",TRUE,UNIQUE(FILTER(TRIM('Coach Portal'!B15:B16),'Coach Portal'!G15:G16=""Removed""))),"""")"),"Messaging")</f>
        <v/>
      </c>
      <c r="C113" s="52" t="inlineStr">
        <is>
          <t>Removed</t>
        </is>
      </c>
      <c r="D113" s="58">
        <f>IFERROR(__xludf.DUMMYFUNCTION("IFERROR(TEXTJOIN(CHAR(10),TRUE,FILTER(""• ""&amp;TRIM('Coach Portal'!C15:C16),'Coach Portal'!G15:G16=""Removed"")),"""")"),"• Secure patient messaging
• Wellness boundary")</f>
        <v/>
      </c>
      <c r="E113" s="33" t="inlineStr">
        <is>
          <t>Yes</t>
        </is>
      </c>
      <c r="F113" s="52">
        <f>SUMIFS('Coach Portal'!H15:H16,'Coach Portal'!G15:G16,"Removed")</f>
        <v/>
      </c>
      <c r="G113" s="52">
        <f>SUMIFS('Coach Portal'!I15:I16,'Coach Portal'!G15:G16,"Removed")</f>
        <v/>
      </c>
      <c r="H113" s="139" t="n"/>
      <c r="I113" s="139" t="n"/>
      <c r="J113" s="139" t="n"/>
      <c r="K113" s="139" t="n"/>
      <c r="L113" s="139" t="n"/>
    </row>
    <row r="114">
      <c r="A114" s="60">
        <f>TRIM('Coach Portal'!A17)</f>
        <v/>
      </c>
      <c r="B114" s="60">
        <f>IFERROR(__xludf.DUMMYFUNCTION("IFERROR(TEXTJOIN("", "",TRUE,UNIQUE(FILTER(TRIM('Coach Portal'!B18:B19),'Coach Portal'!G18:G19=""Removed""))),"""")"),"Notes")</f>
        <v/>
      </c>
      <c r="C114" s="52" t="inlineStr">
        <is>
          <t>Removed</t>
        </is>
      </c>
      <c r="D114" s="58">
        <f>IFERROR(__xludf.DUMMYFUNCTION("IFERROR(TEXTJOIN(CHAR(10),TRUE,FILTER(""• ""&amp;TRIM('Coach Portal'!C18:C19),'Coach Portal'!G18:G19=""Removed"")),"""")"),"• Add session notes
• View note history")</f>
        <v/>
      </c>
      <c r="E114" s="33" t="inlineStr">
        <is>
          <t>Yes</t>
        </is>
      </c>
      <c r="F114" s="52">
        <f>SUMIFS('Coach Portal'!H18:H19,'Coach Portal'!G18:G19,"Removed")</f>
        <v/>
      </c>
      <c r="G114" s="52">
        <f>SUMIFS('Coach Portal'!I18:I19,'Coach Portal'!G18:G19,"Removed")</f>
        <v/>
      </c>
      <c r="H114" s="139" t="n"/>
      <c r="I114" s="139" t="n"/>
      <c r="J114" s="139" t="n"/>
      <c r="K114" s="139" t="n"/>
      <c r="L114" s="139" t="n"/>
    </row>
    <row r="115">
      <c r="A115" s="60">
        <f>TRIM('Coach Portal'!A20)</f>
        <v/>
      </c>
      <c r="B115" s="60">
        <f>IFERROR(__xludf.DUMMYFUNCTION("IFERROR(TEXTJOIN("", "",TRUE,UNIQUE(FILTER(TRIM('Coach Portal'!B21),'Coach Portal'!G21=""Removed""))),"""")"),"Notifications")</f>
        <v/>
      </c>
      <c r="C115" s="52" t="inlineStr">
        <is>
          <t>Removed</t>
        </is>
      </c>
      <c r="D115" s="58">
        <f>IFERROR(__xludf.DUMMYFUNCTION("IFERROR(TEXTJOIN(CHAR(10),TRUE,FILTER(""• ""&amp;TRIM('Coach Portal'!C21),'Coach Portal'!G21=""Removed"")),"""")"),"• Session &amp; message alerts")</f>
        <v/>
      </c>
      <c r="E115" s="33" t="inlineStr">
        <is>
          <t>Yes</t>
        </is>
      </c>
      <c r="F115" s="52">
        <f>SUMIFS('Coach Portal'!H21,'Coach Portal'!G21,"Removed")</f>
        <v/>
      </c>
      <c r="G115" s="52">
        <f>SUMIFS('Coach Portal'!I21,'Coach Portal'!G21,"Removed")</f>
        <v/>
      </c>
      <c r="H115" s="139" t="n"/>
      <c r="I115" s="139" t="n"/>
      <c r="J115" s="139" t="n"/>
      <c r="K115" s="139" t="n"/>
      <c r="L115" s="139" t="n"/>
    </row>
    <row r="116">
      <c r="A116" s="60" t="n"/>
      <c r="B116" s="60" t="n"/>
      <c r="C116" s="52" t="n"/>
      <c r="D116" s="58" t="inlineStr">
        <is>
          <t>Subtotal: Coach Portal: Removed / Covered</t>
        </is>
      </c>
      <c r="E116" s="52" t="n"/>
      <c r="F116" s="52">
        <f>SUM(F110:F115)</f>
        <v/>
      </c>
      <c r="G116" s="52">
        <f>SUM(G110:G115)</f>
        <v/>
      </c>
      <c r="H116" s="139" t="n"/>
      <c r="I116" s="139" t="n"/>
      <c r="J116" s="139" t="n"/>
      <c r="K116" s="139" t="n"/>
      <c r="L116" s="139" t="n"/>
    </row>
    <row r="117">
      <c r="A117" s="60" t="n"/>
      <c r="B117" s="60" t="n"/>
      <c r="C117" s="52" t="n"/>
      <c r="D117" s="58" t="n"/>
      <c r="E117" s="52" t="n"/>
      <c r="F117" s="52" t="n"/>
      <c r="G117" s="52" t="n"/>
      <c r="H117" s="139" t="n"/>
      <c r="I117" s="139" t="n"/>
      <c r="J117" s="139" t="n"/>
      <c r="K117" s="139" t="n"/>
      <c r="L117" s="139" t="n"/>
    </row>
    <row r="118">
      <c r="A118" s="49" t="inlineStr">
        <is>
          <t>Shared Backend Layers: Removed / Covered</t>
        </is>
      </c>
      <c r="B118" s="49" t="n"/>
      <c r="C118" s="50" t="n"/>
      <c r="D118" s="51" t="n"/>
      <c r="E118" s="50" t="n"/>
      <c r="F118" s="50" t="n"/>
      <c r="G118" s="50" t="n"/>
      <c r="H118" s="139" t="n"/>
      <c r="I118" s="139" t="n"/>
      <c r="J118" s="139" t="n"/>
      <c r="K118" s="139" t="n"/>
      <c r="L118" s="139" t="n"/>
    </row>
    <row r="119">
      <c r="A119" s="60">
        <f>TRIM('Shared Backend Layers'!A3)</f>
        <v/>
      </c>
      <c r="B119" s="60">
        <f>IFERROR(__xludf.DUMMYFUNCTION("IFERROR(TEXTJOIN("", "",TRUE,UNIQUE(FILTER(TRIM('Shared Backend Layers'!B4:B15),'Shared Backend Layers'!G4:G15=""Covered""))),"""")"),"Normalization, Record, Provenance")</f>
        <v/>
      </c>
      <c r="C119" s="52" t="inlineStr">
        <is>
          <t>Covered</t>
        </is>
      </c>
      <c r="D119" s="58">
        <f>IFERROR(__xludf.DUMMYFUNCTION("IFERROR(TEXTJOIN(CHAR(10),TRUE,FILTER(""• ""&amp;TRIM('Shared Backend Layers'!C4:C15),'Shared Backend Layers'!G4:G15=""Covered"")),"""")"),"• Normalize inputs
• Provenance &amp; original values
• Deduplication
• Longitudinal DB
• 16-entity data model
• Document store
• Idempotent imports
• Six provenance labels
• No silent AI-to-fact writes
• Gaps &amp; conflicts disclosed
• Assay/unit trend compatib"&amp;"ility
• Auditable patient corrections")</f>
        <v/>
      </c>
      <c r="E119" s="33" t="inlineStr">
        <is>
          <t>Yes</t>
        </is>
      </c>
      <c r="F119" s="52">
        <f>SUMIFS('Shared Backend Layers'!H4:H15,'Shared Backend Layers'!G4:G15,"Covered")</f>
        <v/>
      </c>
      <c r="G119" s="52">
        <f>SUMIFS('Shared Backend Layers'!I4:I15,'Shared Backend Layers'!G4:G15,"Covered")</f>
        <v/>
      </c>
      <c r="H119" s="139" t="n"/>
      <c r="I119" s="139" t="n"/>
      <c r="J119" s="139" t="n"/>
      <c r="K119" s="139" t="n"/>
      <c r="L119" s="139" t="n"/>
    </row>
    <row r="120">
      <c r="A120" s="60">
        <f>TRIM('Shared Backend Layers'!A16)</f>
        <v/>
      </c>
      <c r="B120" s="60">
        <f>IFERROR(__xludf.DUMMYFUNCTION("IFERROR(TEXTJOIN("", "",TRUE,UNIQUE(FILTER(TRIM('Shared Backend Layers'!B17:B33),'Shared Backend Layers'!G17:G33=""Covered""))),"""")"),"Model, Orchestration, Retrieval, Generation, Evaluation, Monitoring, Metering, Evidence, AI answers, Change control")</f>
        <v/>
      </c>
      <c r="C120" s="52" t="inlineStr">
        <is>
          <t>Covered</t>
        </is>
      </c>
      <c r="D120" s="58">
        <f>IFERROR(__xludf.DUMMYFUNCTION("IFERROR(TEXTJOIN(CHAR(10),TRUE,FILTER(""• ""&amp;TRIM('Shared Backend Layers'!C17:C33),'Shared Backend Layers'!G17:G33=""Covered"")),"""")"),"• Pre-trained commercial model via API
• Context assembly
• Protocol retrieval + grounding
• Report + digest generation
• Structured outputs
• Evaluation harness
• Output versioning
• Live safety monitoring
• Usage metering
• Versioned evidence library
• "&amp;"Evidence tiering (A–D + excluded)
• Disagreement handling
• 8-part answer standard
• Visible calibrated uncertainty
• Prompt-injection defense (tested)
• Model/prompt/policy versioning
• Regression + staged rollout + rollback")</f>
        <v/>
      </c>
      <c r="E120" s="33" t="inlineStr">
        <is>
          <t>Yes</t>
        </is>
      </c>
      <c r="F120" s="52">
        <f>SUMIFS('Shared Backend Layers'!H17:H33,'Shared Backend Layers'!G17:G33,"Covered")</f>
        <v/>
      </c>
      <c r="G120" s="52">
        <f>SUMIFS('Shared Backend Layers'!I17:I33,'Shared Backend Layers'!G17:G33,"Covered")</f>
        <v/>
      </c>
      <c r="H120" s="139" t="n"/>
      <c r="I120" s="139" t="n"/>
      <c r="J120" s="139" t="n"/>
      <c r="K120" s="139" t="n"/>
      <c r="L120" s="139" t="n"/>
    </row>
    <row r="121">
      <c r="A121" s="60">
        <f>TRIM('Shared Backend Layers'!A34)</f>
        <v/>
      </c>
      <c r="B121" s="60">
        <f>IFERROR(__xludf.DUMMYFUNCTION("IFERROR(TEXTJOIN("", "",TRUE,UNIQUE(FILTER(TRIM('Shared Backend Layers'!B35:B42),'Shared Backend Layers'!G35:G42=""Covered""))),"""")"),"Guardrails")</f>
        <v/>
      </c>
      <c r="C121" s="52" t="inlineStr">
        <is>
          <t>Covered</t>
        </is>
      </c>
      <c r="D121" s="58">
        <f>IFERROR(__xludf.DUMMYFUNCTION("IFERROR(TEXTJOIN(CHAR(10),TRUE,FILTER(""• ""&amp;TRIM('Shared Backend Layers'!C35:C42),'Shared Backend Layers'!G35:G42=""Covered"")),"""")"),"• No diagnosis
• No medication advice
• Route clinical to physician
• Emergency red-flag rules
• Source citation
• Boundary enforcement
• Lifestyle guidance allowed
• Consult-physician framing")</f>
        <v/>
      </c>
      <c r="E121" s="33" t="inlineStr">
        <is>
          <t>Yes</t>
        </is>
      </c>
      <c r="F121" s="52">
        <f>SUMIFS('Shared Backend Layers'!H35:H42,'Shared Backend Layers'!G35:G42,"Covered")</f>
        <v/>
      </c>
      <c r="G121" s="52">
        <f>SUMIFS('Shared Backend Layers'!I35:I42,'Shared Backend Layers'!G35:G42,"Covered")</f>
        <v/>
      </c>
      <c r="H121" s="139" t="n"/>
      <c r="I121" s="139" t="n"/>
      <c r="J121" s="139" t="n"/>
      <c r="K121" s="139" t="n"/>
      <c r="L121" s="139" t="n"/>
    </row>
    <row r="122">
      <c r="A122" s="60">
        <f>TRIM('Shared Backend Layers'!A43)</f>
        <v/>
      </c>
      <c r="B122" s="60">
        <f>IFERROR(__xludf.DUMMYFUNCTION("IFERROR(TEXTJOIN("", "",TRUE,UNIQUE(FILTER(TRIM('Shared Backend Layers'!B44:B57),'Shared Backend Layers'!G44:G57=""Covered""))),"""")"),"Member record, Care loop, Routing, Engagement, Scoring, Forecast, Alerts, Escalation")</f>
        <v/>
      </c>
      <c r="C122" s="52" t="inlineStr">
        <is>
          <t>Covered</t>
        </is>
      </c>
      <c r="D122" s="58">
        <f>IFERROR(__xludf.DUMMYFUNCTION("IFERROR(TEXTJOIN(CHAR(10),TRUE,FILTER(""• ""&amp;TRIM('Shared Backend Layers'!C44:C57),'Shared Backend Layers'!G44:G57=""Covered"")),"""")"),"• 360 member record
• Assess-plan-act-monitor-refine
• Sign-off routing
• Abnormal-finding routing
• Automation
• Scoring engine
• Forecast engine
• Alert / rules engine
• 5-level escalation matrix
• Episode-based deduplication
• Pending-review awareness
"&amp;"• Cooldown &amp; suppression
• Batching &amp; closed-loop status
• Physician summary standard")</f>
        <v/>
      </c>
      <c r="E122" s="33" t="inlineStr">
        <is>
          <t>Yes</t>
        </is>
      </c>
      <c r="F122" s="52">
        <f>SUMIFS('Shared Backend Layers'!H44:H57,'Shared Backend Layers'!G44:G57,"Covered")</f>
        <v/>
      </c>
      <c r="G122" s="52">
        <f>SUMIFS('Shared Backend Layers'!I44:I57,'Shared Backend Layers'!G44:G57,"Covered")</f>
        <v/>
      </c>
      <c r="H122" s="139" t="n"/>
      <c r="I122" s="139" t="n"/>
      <c r="J122" s="139" t="n"/>
      <c r="K122" s="139" t="n"/>
      <c r="L122" s="139" t="n"/>
    </row>
    <row r="123">
      <c r="A123" s="60">
        <f>TRIM('Shared Backend Layers'!A58)</f>
        <v/>
      </c>
      <c r="B123" s="60">
        <f>IFERROR(__xludf.DUMMYFUNCTION("IFERROR(TEXTJOIN("", "",TRUE,UNIQUE(FILTER(TRIM('Shared Backend Layers'!B59:B74),'Shared Backend Layers'!G59:G74=""Covered""))),"""")"),"Integration bridge, EHR connector, Normalization, Multi-hospital, HIE / TEFCA, Auto-ingestion, Terra, Uploads, Partners")</f>
        <v/>
      </c>
      <c r="C123" s="52" t="inlineStr">
        <is>
          <t>Covered</t>
        </is>
      </c>
      <c r="D123" s="58">
        <f>IFERROR(__xludf.DUMMYFUNCTION("IFERROR(TEXTJOIN(CHAR(10),TRUE,FILTER(""• ""&amp;TRIM('Shared Backend Layers'!C59:C74),'Shared Backend Layers'!G59:G74=""Covered"")),"""")"),"• Unified EHR API
• Epic (FHIR)
• Cerner / Oracle (FHIR)
• athenahealth (FHIR)
• Extensible connectors
• FHIR normalization
• Multiple authorizations
• Same-EHR account linking
• Exchange option (evaluate)
• Automatic ingestion
• Real-time webhook push
• "&amp;"Polling fallback
• Update + trigger
• Terra auth &amp; sync
• Upload parsing
• Partner connections")</f>
        <v/>
      </c>
      <c r="E123" s="33" t="inlineStr">
        <is>
          <t>Yes</t>
        </is>
      </c>
      <c r="F123" s="52">
        <f>SUMIFS('Shared Backend Layers'!H59:H74,'Shared Backend Layers'!G59:G74,"Covered")</f>
        <v/>
      </c>
      <c r="G123" s="52">
        <f>SUMIFS('Shared Backend Layers'!I59:I74,'Shared Backend Layers'!G59:G74,"Covered")</f>
        <v/>
      </c>
      <c r="H123" s="139" t="n"/>
      <c r="I123" s="139" t="n"/>
      <c r="J123" s="139" t="n"/>
      <c r="K123" s="139" t="n"/>
      <c r="L123" s="139" t="n"/>
    </row>
    <row r="124">
      <c r="A124" s="60">
        <f>TRIM('Shared Backend Layers'!A75)</f>
        <v/>
      </c>
      <c r="B124" s="60">
        <f>IFERROR(__xludf.DUMMYFUNCTION("IFERROR(TEXTJOIN("", "",TRUE,UNIQUE(FILTER(TRIM('Shared Backend Layers'!B76:B79),'Shared Backend Layers'!G76:G79=""Covered""))),"""")"),"Identity, Access, Tenancy")</f>
        <v/>
      </c>
      <c r="C124" s="52" t="inlineStr">
        <is>
          <t>Covered</t>
        </is>
      </c>
      <c r="D124" s="58">
        <f>IFERROR(__xludf.DUMMYFUNCTION("IFERROR(TEXTJOIN(CHAR(10),TRUE,FILTER(""• ""&amp;TRIM('Shared Backend Layers'!C76:C79),'Shared Backend Layers'!G76:G79=""Covered"")),"""")"),"• Authentication
• RBAC
• Tenant isolation
• White-label config")</f>
        <v/>
      </c>
      <c r="E124" s="33" t="inlineStr">
        <is>
          <t>Yes</t>
        </is>
      </c>
      <c r="F124" s="52">
        <f>SUMIFS('Shared Backend Layers'!H76:H79,'Shared Backend Layers'!G76:G79,"Covered")</f>
        <v/>
      </c>
      <c r="G124" s="52">
        <f>SUMIFS('Shared Backend Layers'!I76:I79,'Shared Backend Layers'!G76:G79,"Covered")</f>
        <v/>
      </c>
      <c r="H124" s="139" t="n"/>
      <c r="I124" s="139" t="n"/>
      <c r="J124" s="139" t="n"/>
      <c r="K124" s="139" t="n"/>
      <c r="L124" s="139" t="n"/>
    </row>
    <row r="125">
      <c r="A125" s="60">
        <f>TRIM('Shared Backend Layers'!A80)</f>
        <v/>
      </c>
      <c r="B125" s="60">
        <f>IFERROR(__xludf.DUMMYFUNCTION("IFERROR(TEXTJOIN("", "",TRUE,UNIQUE(FILTER(TRIM('Shared Backend Layers'!B81),'Shared Backend Layers'!G81=""Covered""))),"""")"),"Notifications")</f>
        <v/>
      </c>
      <c r="C125" s="52" t="inlineStr">
        <is>
          <t>Covered</t>
        </is>
      </c>
      <c r="D125" s="58">
        <f>IFERROR(__xludf.DUMMYFUNCTION("IFERROR(TEXTJOIN(CHAR(10),TRUE,FILTER(""• ""&amp;TRIM('Shared Backend Layers'!C81),'Shared Backend Layers'!G81=""Covered"")),"""")"),"• Multi-channel delivery")</f>
        <v/>
      </c>
      <c r="E125" s="33" t="inlineStr">
        <is>
          <t>Yes</t>
        </is>
      </c>
      <c r="F125" s="52">
        <f>SUMIFS('Shared Backend Layers'!H81,'Shared Backend Layers'!G81,"Covered")</f>
        <v/>
      </c>
      <c r="G125" s="52">
        <f>SUMIFS('Shared Backend Layers'!I81,'Shared Backend Layers'!G81,"Covered")</f>
        <v/>
      </c>
      <c r="H125" s="139" t="n"/>
      <c r="I125" s="139" t="n"/>
      <c r="J125" s="139" t="n"/>
      <c r="K125" s="139" t="n"/>
      <c r="L125" s="139" t="n"/>
    </row>
    <row r="126">
      <c r="A126" s="60">
        <f>TRIM('Shared Backend Layers'!A82)</f>
        <v/>
      </c>
      <c r="B126" s="60">
        <f>IFERROR(__xludf.DUMMYFUNCTION("IFERROR(TEXTJOIN("", "",TRUE,UNIQUE(FILTER(TRIM('Shared Backend Layers'!B83:B86),'Shared Backend Layers'!G83:G86=""Covered""))),"""")"),"Security, Audit, Resilience, Compliance")</f>
        <v/>
      </c>
      <c r="C126" s="52" t="inlineStr">
        <is>
          <t>Covered</t>
        </is>
      </c>
      <c r="D126" s="58">
        <f>IFERROR(__xludf.DUMMYFUNCTION("IFERROR(TEXTJOIN(CHAR(10),TRUE,FILTER(""• ""&amp;TRIM('Shared Backend Layers'!C83:C86),'Shared Backend Layers'!G83:G86=""Covered"")),"""")"),"• Encryption &amp; secrets
• Immutable audit trail
• Backups &amp; DR
• SOC 2 posture")</f>
        <v/>
      </c>
      <c r="E126" s="33" t="inlineStr">
        <is>
          <t>Yes</t>
        </is>
      </c>
      <c r="F126" s="52">
        <f>SUMIFS('Shared Backend Layers'!H83:H86,'Shared Backend Layers'!G83:G86,"Covered")</f>
        <v/>
      </c>
      <c r="G126" s="52">
        <f>SUMIFS('Shared Backend Layers'!I83:I86,'Shared Backend Layers'!G83:G86,"Covered")</f>
        <v/>
      </c>
      <c r="H126" s="139" t="n"/>
      <c r="I126" s="139" t="n"/>
      <c r="J126" s="139" t="n"/>
      <c r="K126" s="139" t="n"/>
      <c r="L126" s="139" t="n"/>
    </row>
    <row r="127">
      <c r="A127" s="60">
        <f>TRIM('Shared Backend Layers'!A87)</f>
        <v/>
      </c>
      <c r="B127" s="60">
        <f>IFERROR(__xludf.DUMMYFUNCTION("IFERROR(TEXTJOIN("", "",TRUE,UNIQUE(FILTER(TRIM('Shared Backend Layers'!B88:B92),'Shared Backend Layers'!G88:G92=""Covered""))),"""")"),"Billing engine")</f>
        <v/>
      </c>
      <c r="C127" s="52" t="inlineStr">
        <is>
          <t>Covered</t>
        </is>
      </c>
      <c r="D127" s="58">
        <f>IFERROR(__xludf.DUMMYFUNCTION("IFERROR(TEXTJOIN(CHAR(10),TRUE,FILTER(""• ""&amp;TRIM('Shared Backend Layers'!C88:C92),'Shared Backend Layers'!G88:G92=""Covered"")),"""")"),"• Payment processing
• Subscription lifecycle
• Usage metering
• Revenue-share settlement engine
• Ledger &amp; audit")</f>
        <v/>
      </c>
      <c r="E127" s="33" t="inlineStr">
        <is>
          <t>Yes</t>
        </is>
      </c>
      <c r="F127" s="52">
        <f>SUMIFS('Shared Backend Layers'!H88:H92,'Shared Backend Layers'!G88:G92,"Covered")</f>
        <v/>
      </c>
      <c r="G127" s="52">
        <f>SUMIFS('Shared Backend Layers'!I88:I92,'Shared Backend Layers'!G88:G92,"Covered")</f>
        <v/>
      </c>
      <c r="H127" s="139" t="n"/>
      <c r="I127" s="139" t="n"/>
      <c r="J127" s="139" t="n"/>
      <c r="K127" s="139" t="n"/>
      <c r="L127" s="139" t="n"/>
    </row>
    <row r="128">
      <c r="A128" s="60">
        <f>TRIM('Shared Backend Layers'!A93)</f>
        <v/>
      </c>
      <c r="B128" s="60">
        <f>IFERROR(__xludf.DUMMYFUNCTION("IFERROR(TEXTJOIN("", "",TRUE,UNIQUE(FILTER(TRIM('Shared Backend Layers'!B94:B97),'Shared Backend Layers'!G94:G97=""Covered""))),"""")"),"Clinical Policy Engine")</f>
        <v/>
      </c>
      <c r="C128" s="52" t="inlineStr">
        <is>
          <t>Covered</t>
        </is>
      </c>
      <c r="D128" s="58">
        <f>IFERROR(__xludf.DUMMYFUNCTION("IFERROR(TEXTJOIN(CHAR(10),TRUE,FILTER(""• ""&amp;TRIM('Shared Backend Layers'!C94:C97),'Shared Backend Layers'!G94:G97=""Covered"")),"""")"),"• Policy engine outside the LLM
• Action-category control
• Safety validator
• Architectural hard stops")</f>
        <v/>
      </c>
      <c r="E128" s="33" t="inlineStr">
        <is>
          <t>Yes</t>
        </is>
      </c>
      <c r="F128" s="52">
        <f>SUMIFS('Shared Backend Layers'!H94:H97,'Shared Backend Layers'!G94:G97,"Covered")</f>
        <v/>
      </c>
      <c r="G128" s="52">
        <f>SUMIFS('Shared Backend Layers'!I94:I97,'Shared Backend Layers'!G94:G97,"Covered")</f>
        <v/>
      </c>
      <c r="H128" s="139" t="n"/>
      <c r="I128" s="139" t="n"/>
      <c r="J128" s="139" t="n"/>
      <c r="K128" s="139" t="n"/>
      <c r="L128" s="139" t="n"/>
    </row>
    <row r="129">
      <c r="A129" s="60">
        <f>TRIM('Shared Backend Layers'!A98)</f>
        <v/>
      </c>
      <c r="B129" s="60">
        <f>IFERROR(__xludf.DUMMYFUNCTION("IFERROR(TEXTJOIN("", "",TRUE,UNIQUE(FILTER(TRIM('Shared Backend Layers'!B99:B101),'Shared Backend Layers'!G99:G101=""Covered""))),"""")"),"Commercial firewall")</f>
        <v/>
      </c>
      <c r="C129" s="52" t="inlineStr">
        <is>
          <t>Covered</t>
        </is>
      </c>
      <c r="D129" s="58">
        <f>IFERROR(__xludf.DUMMYFUNCTION("IFERROR(TEXTJOIN(CHAR(10),TRUE,FILTER(""• ""&amp;TRIM('Shared Backend Layers'!C99:C101),'Shared Backend Layers'!G99:G101=""Covered"")),"""")"),"• Clinical/commercial separation
• No revenue-driven recommendations
• Conflict disclosure + audit")</f>
        <v/>
      </c>
      <c r="E129" s="33" t="inlineStr">
        <is>
          <t>Yes</t>
        </is>
      </c>
      <c r="F129" s="52">
        <f>SUMIFS('Shared Backend Layers'!H99:H101,'Shared Backend Layers'!G99:G101,"Covered")</f>
        <v/>
      </c>
      <c r="G129" s="52">
        <f>SUMIFS('Shared Backend Layers'!I99:I101,'Shared Backend Layers'!G99:G101,"Covered")</f>
        <v/>
      </c>
      <c r="H129" s="139" t="n"/>
      <c r="I129" s="139" t="n"/>
      <c r="J129" s="139" t="n"/>
      <c r="K129" s="139" t="n"/>
      <c r="L129" s="139" t="n"/>
    </row>
    <row r="130">
      <c r="A130" s="60" t="n"/>
      <c r="B130" s="60" t="n"/>
      <c r="C130" s="52" t="n"/>
      <c r="D130" s="58" t="inlineStr">
        <is>
          <t>Subtotal: Shared Backend Layers: Removed / Covered</t>
        </is>
      </c>
      <c r="E130" s="52" t="n"/>
      <c r="F130" s="52">
        <f>SUM(F119:F129)</f>
        <v/>
      </c>
      <c r="G130" s="52">
        <f>SUM(G119:G129)</f>
        <v/>
      </c>
      <c r="H130" s="139" t="n"/>
      <c r="I130" s="139" t="n"/>
      <c r="J130" s="139" t="n"/>
      <c r="K130" s="139" t="n"/>
      <c r="L130" s="139" t="n"/>
    </row>
    <row r="131">
      <c r="A131" s="60" t="n"/>
      <c r="B131" s="60" t="n"/>
      <c r="C131" s="52" t="n"/>
      <c r="D131" s="58" t="n"/>
      <c r="E131" s="52" t="n"/>
      <c r="F131" s="52" t="n"/>
      <c r="G131" s="52" t="n"/>
      <c r="H131" s="139" t="n"/>
      <c r="I131" s="139" t="n"/>
      <c r="J131" s="139" t="n"/>
      <c r="K131" s="139" t="n"/>
      <c r="L131" s="139" t="n"/>
    </row>
    <row r="132">
      <c r="A132" s="60" t="n"/>
      <c r="B132" s="60" t="n"/>
      <c r="C132" s="52" t="n"/>
      <c r="D132" s="58" t="n"/>
      <c r="E132" s="52" t="n"/>
      <c r="F132" s="52" t="n"/>
      <c r="G132" s="52" t="n"/>
      <c r="H132" s="139" t="n"/>
      <c r="I132" s="139" t="n"/>
      <c r="J132" s="139" t="n"/>
      <c r="K132" s="139" t="n"/>
      <c r="L132" s="139" t="n"/>
    </row>
    <row r="133">
      <c r="A133" s="60" t="n"/>
      <c r="B133" s="60" t="n"/>
      <c r="C133" s="52" t="n"/>
      <c r="D133" s="58" t="n"/>
      <c r="E133" s="52" t="n"/>
      <c r="F133" s="52" t="n"/>
      <c r="G133" s="52" t="n"/>
      <c r="H133" s="139" t="n"/>
      <c r="I133" s="139" t="n"/>
      <c r="J133" s="139" t="n"/>
      <c r="K133" s="139" t="n"/>
      <c r="L133" s="139" t="n"/>
    </row>
    <row r="134">
      <c r="A134" s="60" t="n"/>
      <c r="B134" s="60" t="n"/>
      <c r="C134" s="52" t="n"/>
      <c r="D134" s="58" t="n"/>
      <c r="E134" s="52" t="n"/>
      <c r="F134" s="52" t="n"/>
      <c r="G134" s="52" t="n"/>
      <c r="H134" s="139" t="n"/>
      <c r="I134" s="139" t="n"/>
      <c r="J134" s="139" t="n"/>
      <c r="K134" s="139" t="n"/>
      <c r="L134" s="139" t="n"/>
    </row>
    <row r="135">
      <c r="A135" s="60" t="n"/>
      <c r="B135" s="60" t="n"/>
      <c r="C135" s="52" t="n"/>
      <c r="D135" s="58" t="n"/>
      <c r="E135" s="52" t="n"/>
      <c r="F135" s="52" t="n"/>
      <c r="G135" s="52" t="n"/>
      <c r="H135" s="139" t="n"/>
      <c r="I135" s="139" t="n"/>
      <c r="J135" s="139" t="n"/>
      <c r="K135" s="139" t="n"/>
      <c r="L135" s="139" t="n"/>
    </row>
    <row r="136">
      <c r="A136" s="60" t="n"/>
      <c r="B136" s="60" t="n"/>
      <c r="C136" s="52" t="n"/>
      <c r="D136" s="58" t="n"/>
      <c r="E136" s="52" t="n"/>
      <c r="F136" s="52" t="n"/>
      <c r="G136" s="52" t="n"/>
      <c r="H136" s="139" t="n"/>
      <c r="I136" s="139" t="n"/>
      <c r="J136" s="139" t="n"/>
      <c r="K136" s="139" t="n"/>
      <c r="L136" s="139" t="n"/>
    </row>
    <row r="137">
      <c r="A137" s="60" t="n"/>
      <c r="B137" s="60" t="n"/>
      <c r="C137" s="52" t="n"/>
      <c r="D137" s="58" t="n"/>
      <c r="E137" s="52" t="n"/>
      <c r="F137" s="52" t="n"/>
      <c r="G137" s="52" t="n"/>
      <c r="H137" s="139" t="n"/>
      <c r="I137" s="139" t="n"/>
      <c r="J137" s="139" t="n"/>
      <c r="K137" s="139" t="n"/>
      <c r="L137" s="139" t="n"/>
    </row>
    <row r="138">
      <c r="A138" s="60" t="n"/>
      <c r="B138" s="60" t="n"/>
      <c r="C138" s="52" t="n"/>
      <c r="D138" s="58" t="n"/>
      <c r="E138" s="52" t="n"/>
      <c r="F138" s="52" t="n"/>
      <c r="G138" s="52" t="n"/>
      <c r="H138" s="139" t="n"/>
      <c r="I138" s="139" t="n"/>
      <c r="J138" s="139" t="n"/>
      <c r="K138" s="139" t="n"/>
      <c r="L138" s="139" t="n"/>
    </row>
    <row r="139">
      <c r="A139" s="60" t="n"/>
      <c r="B139" s="60" t="n"/>
      <c r="C139" s="52" t="n"/>
      <c r="D139" s="58" t="n"/>
      <c r="E139" s="52" t="n"/>
      <c r="F139" s="52" t="n"/>
      <c r="G139" s="52" t="n"/>
      <c r="H139" s="139" t="n"/>
      <c r="I139" s="139" t="n"/>
      <c r="J139" s="139" t="n"/>
      <c r="K139" s="139" t="n"/>
      <c r="L139" s="139" t="n"/>
    </row>
    <row r="140">
      <c r="A140" s="60" t="n"/>
      <c r="B140" s="60" t="n"/>
      <c r="C140" s="52" t="n"/>
      <c r="D140" s="58" t="n"/>
      <c r="E140" s="52" t="n"/>
      <c r="F140" s="52" t="n"/>
      <c r="G140" s="52" t="n"/>
      <c r="H140" s="139" t="n"/>
      <c r="I140" s="139" t="n"/>
      <c r="J140" s="139" t="n"/>
      <c r="K140" s="139" t="n"/>
      <c r="L140" s="139" t="n"/>
    </row>
  </sheetData>
  <conditionalFormatting sqref="A2:G140 H2:H4">
    <cfRule type="expression" priority="1" dxfId="2" stopIfTrue="1">
      <formula>LEFT($A2,7)="SECTION"</formula>
    </cfRule>
    <cfRule type="expression" priority="2" dxfId="3" stopIfTrue="1">
      <formula>AND($A2&lt;&gt;"",$C2="",EXACT($A2,UPPER($A2)))</formula>
    </cfRule>
    <cfRule type="expression" priority="3" dxfId="4" stopIfTrue="1">
      <formula>AND($A2&lt;&gt;"",$C2="",ISNUMBER(SEARCH("New Features",$A2)))</formula>
    </cfRule>
    <cfRule type="expression" priority="4" dxfId="5" stopIfTrue="1">
      <formula>AND($A2&lt;&gt;"",$C2="",ISNUMBER(SEARCH("Modified Features",$A2)))</formula>
    </cfRule>
    <cfRule type="expression" priority="5" dxfId="6" stopIfTrue="1">
      <formula>AND($A2&lt;&gt;"",$C2="",ISNUMBER(SEARCH("Removed",$A2)))</formula>
    </cfRule>
    <cfRule type="expression" priority="6" dxfId="7" stopIfTrue="1">
      <formula>LEFT($D2,8)="Subtotal"</formula>
    </cfRule>
  </conditionalFormatting>
  <dataValidations count="3">
    <dataValidation sqref="E5:E9 E13:E15 E20:E32 E36:E40 E45:E55 E59 E82:E85 E89:E95 E99:E106 E110:E115 E119:E129" showDropDown="0" showInputMessage="0" showErrorMessage="1" allowBlank="1" type="list">
      <formula1>"Yes,No,Partial"</formula1>
    </dataValidation>
    <dataValidation sqref="H5" showDropDown="0" showInputMessage="0" showErrorMessage="0" allowBlank="1" type="list">
      <formula1>"Yes,No,Pending"</formula1>
    </dataValidation>
    <dataValidation sqref="H6:H140" showDropDown="0" showInputMessage="0" showErrorMessage="0" allowBlank="1" type="list">
      <formula1>"Yes,No,Pending"</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N11"/>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25.86" customWidth="1" style="144" min="1" max="1"/>
    <col width="15.14" customWidth="1" style="144" min="2" max="14"/>
  </cols>
  <sheetData>
    <row r="1">
      <c r="A1" s="1" t="inlineStr">
        <is>
          <t>Portal deviation: 18 Sep 2026 scope vs 30 Oct 2026 scope (hours = FE + BE)</t>
        </is>
      </c>
    </row>
    <row r="3" ht="42" customHeight="1" s="144">
      <c r="A3" s="2" t="inlineStr">
        <is>
          <t>Portal</t>
        </is>
      </c>
      <c r="B3" s="2" t="inlineStr">
        <is>
          <t>Retained hrs</t>
        </is>
      </c>
      <c r="C3" s="2" t="inlineStr">
        <is>
          <t>Modified hrs (18 Sep)</t>
        </is>
      </c>
      <c r="D3" s="2" t="inlineStr">
        <is>
          <t>Removed hrs</t>
        </is>
      </c>
      <c r="E3" s="2" t="inlineStr">
        <is>
          <t>Covered hrs</t>
        </is>
      </c>
      <c r="F3" s="2" t="inlineStr">
        <is>
          <t>Original scope hrs (18 Sep)</t>
        </is>
      </c>
      <c r="G3" s="2" t="inlineStr">
        <is>
          <t>New hrs added (+)</t>
        </is>
      </c>
      <c r="H3" s="2" t="inlineStr">
        <is>
          <t>Modified change hrs (+/-)</t>
        </is>
      </c>
      <c r="I3" s="2" t="inlineStr">
        <is>
          <t>Removed + Covered hrs (-)</t>
        </is>
      </c>
      <c r="J3" s="2" t="inlineStr">
        <is>
          <t>Net change hrs</t>
        </is>
      </c>
      <c r="K3" s="2" t="inlineStr">
        <is>
          <t>Current scope hrs (30 Oct)</t>
        </is>
      </c>
      <c r="L3" s="2" t="inlineStr">
        <is>
          <t>% added (New / Original)</t>
        </is>
      </c>
      <c r="M3" s="2" t="inlineStr">
        <is>
          <t>% removed ((Removed + Covered) / Original)</t>
        </is>
      </c>
      <c r="N3" s="2" t="inlineStr">
        <is>
          <t>Net deviation %</t>
        </is>
      </c>
    </row>
    <row r="4">
      <c r="A4" s="6" t="inlineStr">
        <is>
          <t>Super Admin Portal</t>
        </is>
      </c>
      <c r="B4" s="21">
        <f>SUMIFS('Super Admin Portal  Hol Portal'!G3:G84,'Super Admin Portal  Hol Portal'!E3:E84,"Retained")+SUMIFS('Super Admin Portal  Hol Portal'!H3:H84,'Super Admin Portal  Hol Portal'!E3:E84,"Retained")</f>
        <v/>
      </c>
      <c r="C4" s="24" t="n">
        <v>38</v>
      </c>
      <c r="D4" s="21">
        <f>SUMIFS('Super Admin Portal  Hol Portal'!G3:G84,'Super Admin Portal  Hol Portal'!E3:E84,"Removed")+SUMIFS('Super Admin Portal  Hol Portal'!H3:H84,'Super Admin Portal  Hol Portal'!E3:E84,"Removed")</f>
        <v/>
      </c>
      <c r="E4" s="21">
        <f>SUMIFS('Super Admin Portal  Hol Portal'!G3:G84,'Super Admin Portal  Hol Portal'!E3:E84,"Covered")+SUMIFS('Super Admin Portal  Hol Portal'!H3:H84,'Super Admin Portal  Hol Portal'!E3:E84,"Covered")</f>
        <v/>
      </c>
      <c r="F4" s="21">
        <f>B4+C4+D4+E4</f>
        <v/>
      </c>
      <c r="G4" s="21">
        <f>SUMIFS('Super Admin Portal  Hol Portal'!G3:G84,'Super Admin Portal  Hol Portal'!E3:E84,"New")+SUMIFS('Super Admin Portal  Hol Portal'!H3:H84,'Super Admin Portal  Hol Portal'!E3:E84,"New")</f>
        <v/>
      </c>
      <c r="H4" s="21">
        <f>SUMIFS('Super Admin Portal  Hol Portal'!G3:G84,'Super Admin Portal  Hol Portal'!E3:E84,"Modified")+SUMIFS('Super Admin Portal  Hol Portal'!H3:H84,'Super Admin Portal  Hol Portal'!E3:E84,"Modified")-C4</f>
        <v/>
      </c>
      <c r="I4" s="21">
        <f>D4+E4</f>
        <v/>
      </c>
      <c r="J4" s="21">
        <f>G4+H4-I4</f>
        <v/>
      </c>
      <c r="K4" s="21">
        <f>F4+J4</f>
        <v/>
      </c>
      <c r="L4" s="40">
        <f>IF(F4=0,0,G4/F4)</f>
        <v/>
      </c>
      <c r="M4" s="40">
        <f>IF(F4=0,0,I4/F4)</f>
        <v/>
      </c>
      <c r="N4" s="40">
        <f>IF(F4=0,0,J4/F4)</f>
        <v/>
      </c>
    </row>
    <row r="5">
      <c r="A5" s="6" t="inlineStr">
        <is>
          <t>Physician Portal</t>
        </is>
      </c>
      <c r="B5" s="21">
        <f>SUMIFS('Physician Portal  Provider port'!G3:G153,'Physician Portal  Provider port'!E3:E153,"Retained")+SUMIFS('Physician Portal  Provider port'!H3:H153,'Physician Portal  Provider port'!E3:E153,"Retained")</f>
        <v/>
      </c>
      <c r="C5" s="24" t="n">
        <v>52</v>
      </c>
      <c r="D5" s="21">
        <f>SUMIFS('Physician Portal  Provider port'!G3:G153,'Physician Portal  Provider port'!E3:E153,"Removed")+SUMIFS('Physician Portal  Provider port'!H3:H153,'Physician Portal  Provider port'!E3:E153,"Removed")</f>
        <v/>
      </c>
      <c r="E5" s="21">
        <f>SUMIFS('Physician Portal  Provider port'!G3:G153,'Physician Portal  Provider port'!E3:E153,"Covered")+SUMIFS('Physician Portal  Provider port'!H3:H153,'Physician Portal  Provider port'!E3:E153,"Covered")</f>
        <v/>
      </c>
      <c r="F5" s="21">
        <f>B5+C5+D5+E5</f>
        <v/>
      </c>
      <c r="G5" s="21">
        <f>SUMIFS('Physician Portal  Provider port'!G3:G153,'Physician Portal  Provider port'!E3:E153,"New")+SUMIFS('Physician Portal  Provider port'!H3:H153,'Physician Portal  Provider port'!E3:E153,"New")</f>
        <v/>
      </c>
      <c r="H5" s="21">
        <f>SUMIFS('Physician Portal  Provider port'!G3:G153,'Physician Portal  Provider port'!E3:E153,"Modified")+SUMIFS('Physician Portal  Provider port'!H3:H153,'Physician Portal  Provider port'!E3:E153,"Modified")-C5</f>
        <v/>
      </c>
      <c r="I5" s="21">
        <f>D5+E5</f>
        <v/>
      </c>
      <c r="J5" s="21">
        <f>G5+H5-I5</f>
        <v/>
      </c>
      <c r="K5" s="21">
        <f>F5+J5</f>
        <v/>
      </c>
      <c r="L5" s="40">
        <f>IF(F5=0,0,G5/F5)</f>
        <v/>
      </c>
      <c r="M5" s="40">
        <f>IF(F5=0,0,I5/F5)</f>
        <v/>
      </c>
      <c r="N5" s="40">
        <f>IF(F5=0,0,J5/F5)</f>
        <v/>
      </c>
    </row>
    <row r="6">
      <c r="A6" s="6" t="inlineStr">
        <is>
          <t>Patient App</t>
        </is>
      </c>
      <c r="B6" s="21">
        <f>SUMIFS('Patient App'!G3:G151,'Patient App'!E3:E151,"Retained")+SUMIFS('Patient App'!H3:H151,'Patient App'!E3:E151,"Retained")</f>
        <v/>
      </c>
      <c r="C6" s="24" t="n">
        <v>12</v>
      </c>
      <c r="D6" s="21">
        <f>SUMIFS('Patient App'!G3:G151,'Patient App'!E3:E151,"Removed")+SUMIFS('Patient App'!H3:H151,'Patient App'!E3:E151,"Removed")</f>
        <v/>
      </c>
      <c r="E6" s="21">
        <f>SUMIFS('Patient App'!G3:G151,'Patient App'!E3:E151,"Covered")+SUMIFS('Patient App'!H3:H151,'Patient App'!E3:E151,"Covered")</f>
        <v/>
      </c>
      <c r="F6" s="21">
        <f>B6+C6+D6+E6</f>
        <v/>
      </c>
      <c r="G6" s="21">
        <f>SUMIFS('Patient App'!G3:G151,'Patient App'!E3:E151,"New")+SUMIFS('Patient App'!H3:H151,'Patient App'!E3:E151,"New")</f>
        <v/>
      </c>
      <c r="H6" s="21">
        <f>SUMIFS('Patient App'!G3:G151,'Patient App'!E3:E151,"Modified")+SUMIFS('Patient App'!H3:H151,'Patient App'!E3:E151,"Modified")-C6</f>
        <v/>
      </c>
      <c r="I6" s="21">
        <f>D6+E6</f>
        <v/>
      </c>
      <c r="J6" s="21">
        <f>G6+H6-I6</f>
        <v/>
      </c>
      <c r="K6" s="21">
        <f>F6+J6</f>
        <v/>
      </c>
      <c r="L6" s="40">
        <f>IF(F6=0,0,G6/F6)</f>
        <v/>
      </c>
      <c r="M6" s="40">
        <f>IF(F6=0,0,I6/F6)</f>
        <v/>
      </c>
      <c r="N6" s="40">
        <f>IF(F6=0,0,J6/F6)</f>
        <v/>
      </c>
    </row>
    <row r="7">
      <c r="A7" s="6" t="inlineStr">
        <is>
          <t>Coach Portal</t>
        </is>
      </c>
      <c r="B7" s="21">
        <f>SUMIFS('Coach Portal'!H3:H21,'Coach Portal'!G3:G21,"Retained")+SUMIFS('Coach Portal'!I3:I21,'Coach Portal'!G3:G21,"Retained")</f>
        <v/>
      </c>
      <c r="C7" s="24" t="n">
        <v>0</v>
      </c>
      <c r="D7" s="21">
        <f>SUMIFS('Coach Portal'!H3:H21,'Coach Portal'!G3:G21,"Removed")+SUMIFS('Coach Portal'!I3:I21,'Coach Portal'!G3:G21,"Removed")</f>
        <v/>
      </c>
      <c r="E7" s="21">
        <f>SUMIFS('Coach Portal'!H3:H21,'Coach Portal'!G3:G21,"Covered")+SUMIFS('Coach Portal'!I3:I21,'Coach Portal'!G3:G21,"Covered")</f>
        <v/>
      </c>
      <c r="F7" s="21">
        <f>B7+C7+D7+E7</f>
        <v/>
      </c>
      <c r="G7" s="21">
        <f>SUMIFS('Coach Portal'!H3:H21,'Coach Portal'!G3:G21,"New")+SUMIFS('Coach Portal'!I3:I21,'Coach Portal'!G3:G21,"New")</f>
        <v/>
      </c>
      <c r="H7" s="21">
        <f>SUMIFS('Coach Portal'!H3:H21,'Coach Portal'!G3:G21,"Modified")+SUMIFS('Coach Portal'!I3:I21,'Coach Portal'!G3:G21,"Modified")-C7</f>
        <v/>
      </c>
      <c r="I7" s="21">
        <f>D7+E7</f>
        <v/>
      </c>
      <c r="J7" s="21">
        <f>G7+H7-I7</f>
        <v/>
      </c>
      <c r="K7" s="21">
        <f>F7+J7</f>
        <v/>
      </c>
      <c r="L7" s="40">
        <f>IF(F7=0,0,G7/F7)</f>
        <v/>
      </c>
      <c r="M7" s="40">
        <f>IF(F7=0,0,I7/F7)</f>
        <v/>
      </c>
      <c r="N7" s="48" t="n">
        <v>0</v>
      </c>
    </row>
    <row r="8">
      <c r="A8" s="6" t="inlineStr">
        <is>
          <t>Shared Backend Layers</t>
        </is>
      </c>
      <c r="B8" s="21">
        <f>SUMIFS('Shared Backend Layers'!H3:H101,'Shared Backend Layers'!G3:G101,"Retained")+SUMIFS('Shared Backend Layers'!I3:I101,'Shared Backend Layers'!G3:G101,"Retained")</f>
        <v/>
      </c>
      <c r="C8" s="24" t="n">
        <v>0</v>
      </c>
      <c r="D8" s="21">
        <f>SUMIFS('Shared Backend Layers'!H3:H101,'Shared Backend Layers'!G3:G101,"Removed")+SUMIFS('Shared Backend Layers'!I3:I101,'Shared Backend Layers'!G3:G101,"Removed")</f>
        <v/>
      </c>
      <c r="E8" s="21">
        <f>SUMIFS('Shared Backend Layers'!H3:H101,'Shared Backend Layers'!G3:G101,"Covered")+SUMIFS('Shared Backend Layers'!I3:I101,'Shared Backend Layers'!G3:G101,"Covered")</f>
        <v/>
      </c>
      <c r="F8" s="21">
        <f>B8+C8+D8+E8</f>
        <v/>
      </c>
      <c r="G8" s="21">
        <f>SUMIFS('Shared Backend Layers'!H3:H101,'Shared Backend Layers'!G3:G101,"New")+SUMIFS('Shared Backend Layers'!I3:I101,'Shared Backend Layers'!G3:G101,"New")</f>
        <v/>
      </c>
      <c r="H8" s="21">
        <f>SUMIFS('Shared Backend Layers'!H3:H101,'Shared Backend Layers'!G3:G101,"Modified")+SUMIFS('Shared Backend Layers'!I3:I101,'Shared Backend Layers'!G3:G101,"Modified")-C8</f>
        <v/>
      </c>
      <c r="I8" s="21">
        <f>D8+E8</f>
        <v/>
      </c>
      <c r="J8" s="21">
        <f>G8+H8-I8</f>
        <v/>
      </c>
      <c r="K8" s="21">
        <f>F8+J8</f>
        <v/>
      </c>
      <c r="L8" s="40">
        <f>IF(F8=0,0,G8/F8)</f>
        <v/>
      </c>
      <c r="M8" s="40">
        <f>IF(F8=0,0,I8/F8)</f>
        <v/>
      </c>
      <c r="N8" s="48" t="n">
        <v>0</v>
      </c>
    </row>
    <row r="9">
      <c r="A9" s="53" t="inlineStr">
        <is>
          <t>Total (all portals)</t>
        </is>
      </c>
      <c r="B9" s="54">
        <f>SUM(B4:B8)</f>
        <v/>
      </c>
      <c r="C9" s="54">
        <f>SUM(C4:C8)</f>
        <v/>
      </c>
      <c r="D9" s="54">
        <f>SUM(D4:D8)</f>
        <v/>
      </c>
      <c r="E9" s="54">
        <f>SUM(E4:E8)</f>
        <v/>
      </c>
      <c r="F9" s="54">
        <f>SUM(F4:F8)</f>
        <v/>
      </c>
      <c r="G9" s="54">
        <f>SUM(G4:G8)</f>
        <v/>
      </c>
      <c r="H9" s="54">
        <f>SUM(H4:H8)</f>
        <v/>
      </c>
      <c r="I9" s="54">
        <f>SUM(I4:I8)</f>
        <v/>
      </c>
      <c r="J9" s="54">
        <f>SUM(J4:J8)</f>
        <v/>
      </c>
      <c r="K9" s="54">
        <f>SUM(K4:K8)</f>
        <v/>
      </c>
      <c r="L9" s="55">
        <f>IF(F9=0,0,G9/F9)</f>
        <v/>
      </c>
      <c r="M9" s="55">
        <f>IF(F9=0,0,I9/F9)</f>
        <v/>
      </c>
      <c r="N9" s="55">
        <f>IF(F9=0,0,J9/F9)</f>
        <v/>
      </c>
    </row>
    <row r="11">
      <c r="A11" s="5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1"/>
  <sheetViews>
    <sheetView showGridLines="0"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width="11.14" customWidth="1" style="144" min="1" max="1"/>
    <col width="27.57" customWidth="1" style="144" min="2" max="2"/>
    <col width="35.57" customWidth="1" style="144" min="3" max="3"/>
    <col width="110.57" customWidth="1" style="144" min="4" max="4"/>
    <col width="24.43" customWidth="1" style="144" min="5" max="5"/>
    <col width="16" customWidth="1" style="144" min="6" max="6"/>
    <col width="13.71" customWidth="1" style="144" min="7" max="7"/>
    <col width="17.29" customWidth="1" style="144" min="8" max="8"/>
    <col width="34.43" customWidth="1" style="144" min="9" max="9"/>
    <col width="48.57" customWidth="1" style="144" min="10" max="10"/>
  </cols>
  <sheetData>
    <row r="1" ht="14.25" customHeight="1" s="144">
      <c r="A1" s="7" t="n"/>
      <c r="B1" s="7" t="n"/>
      <c r="C1" s="7" t="n"/>
      <c r="D1" s="7" t="n"/>
      <c r="E1" s="7" t="n"/>
      <c r="F1" s="7" t="n"/>
      <c r="G1" s="7">
        <f>SUM(G3:G84)</f>
        <v/>
      </c>
      <c r="H1" s="7">
        <f>SUM(H3:H84)</f>
        <v/>
      </c>
      <c r="I1" s="7" t="n"/>
      <c r="J1" s="7" t="n"/>
    </row>
    <row r="2" ht="14.25" customHeight="1" s="144">
      <c r="A2" s="27" t="inlineStr">
        <is>
          <t>SR.NO</t>
        </is>
      </c>
      <c r="B2" s="65" t="inlineStr">
        <is>
          <t>MODULE</t>
        </is>
      </c>
      <c r="C2" s="65" t="inlineStr">
        <is>
          <t>CAPABILITY</t>
        </is>
      </c>
      <c r="D2" s="65" t="inlineStr">
        <is>
          <t>USER STORY</t>
        </is>
      </c>
      <c r="E2" s="65" t="inlineStr">
        <is>
          <t>STATUS</t>
        </is>
      </c>
      <c r="F2" s="65" t="inlineStr">
        <is>
          <t>REQUIRED</t>
        </is>
      </c>
      <c r="G2" s="65" t="inlineStr">
        <is>
          <t>FRONT END</t>
        </is>
      </c>
      <c r="H2" s="65" t="inlineStr">
        <is>
          <t>BACK END</t>
        </is>
      </c>
      <c r="I2" s="65" t="inlineStr">
        <is>
          <t>DESIGN LINK</t>
        </is>
      </c>
      <c r="J2" s="65" t="inlineStr">
        <is>
          <t>COMMENT</t>
        </is>
      </c>
    </row>
    <row r="3" ht="14.25" customHeight="1" s="144">
      <c r="A3" s="104" t="inlineStr">
        <is>
          <t>Login</t>
        </is>
      </c>
      <c r="B3" s="147" t="n"/>
      <c r="C3" s="106" t="n"/>
      <c r="D3" s="80" t="n"/>
      <c r="E3" s="106" t="n"/>
      <c r="F3" s="106" t="n"/>
      <c r="G3" s="106" t="n"/>
      <c r="H3" s="106" t="n"/>
      <c r="I3" s="106" t="n"/>
      <c r="J3" s="106" t="n"/>
    </row>
    <row r="4" ht="14.25" customHeight="1" s="144">
      <c r="A4" s="94" t="n"/>
      <c r="B4" s="94" t="inlineStr">
        <is>
          <t>Invitation</t>
        </is>
      </c>
      <c r="C4" s="94" t="inlineStr">
        <is>
          <t>Invitation Email</t>
        </is>
      </c>
      <c r="D4" s="97" t="inlineStr">
        <is>
          <t>As a Super Admin, I should receive an invitation email from the platform admin who invited me, with my role, my email, a one-time activation code and an “Activate account” button, so that I can activate my account.</t>
        </is>
      </c>
      <c r="E4" s="94" t="inlineStr">
        <is>
          <t>Retained</t>
        </is>
      </c>
      <c r="F4" s="94" t="inlineStr">
        <is>
          <t>Yes</t>
        </is>
      </c>
      <c r="G4" s="87" t="n">
        <v>2</v>
      </c>
      <c r="H4" s="87" t="n">
        <v>2</v>
      </c>
      <c r="I4" s="148" t="inlineStr">
        <is>
          <t>Prototype Link</t>
        </is>
      </c>
      <c r="J4" s="87" t="n"/>
    </row>
    <row r="5" ht="14.25" customHeight="1" s="144">
      <c r="A5" s="94" t="n"/>
      <c r="B5" s="94" t="inlineStr">
        <is>
          <t>Activate Account</t>
        </is>
      </c>
      <c r="C5" s="94" t="inlineStr">
        <is>
          <t>Activate Account &amp; Set Password</t>
        </is>
      </c>
      <c r="D5" s="97" t="inlineStr">
        <is>
          <t>As a Super Admin, I should be able to activate my account with the code from my email and create my password.</t>
        </is>
      </c>
      <c r="E5" s="94" t="inlineStr">
        <is>
          <t>Retained</t>
        </is>
      </c>
      <c r="F5" s="94" t="inlineStr">
        <is>
          <t>Yes</t>
        </is>
      </c>
      <c r="G5" s="87" t="n">
        <v>2</v>
      </c>
      <c r="H5" s="87" t="n">
        <v>2</v>
      </c>
      <c r="I5" s="148" t="inlineStr">
        <is>
          <t>Prototype Link</t>
        </is>
      </c>
      <c r="J5" s="87" t="n"/>
    </row>
    <row r="6" ht="14.25" customHeight="1" s="144">
      <c r="A6" s="94" t="n"/>
      <c r="B6" s="94" t="inlineStr">
        <is>
          <t>Activate Account</t>
        </is>
      </c>
      <c r="C6" s="94" t="inlineStr">
        <is>
          <t>Two-Factor Setup</t>
        </is>
      </c>
      <c r="D6" s="97" t="inlineStr">
        <is>
          <t>As a Super Admin, I should be able to set up two-factor authentication with an authenticator app so that my account is protected.</t>
        </is>
      </c>
      <c r="E6" s="94" t="inlineStr">
        <is>
          <t>Retained</t>
        </is>
      </c>
      <c r="F6" s="94" t="inlineStr">
        <is>
          <t>Yes</t>
        </is>
      </c>
      <c r="G6" s="87" t="n">
        <v>2</v>
      </c>
      <c r="H6" s="87" t="n">
        <v>2</v>
      </c>
      <c r="I6" s="148" t="inlineStr">
        <is>
          <t>Prototype Link</t>
        </is>
      </c>
      <c r="J6" s="87" t="n"/>
    </row>
    <row r="7" ht="14.25" customHeight="1" s="144">
      <c r="A7" s="94" t="n"/>
      <c r="B7" s="94" t="inlineStr">
        <is>
          <t>Sign In</t>
        </is>
      </c>
      <c r="C7" s="94" t="inlineStr">
        <is>
          <t>Sign In</t>
        </is>
      </c>
      <c r="D7" s="97" t="inlineStr">
        <is>
          <t>As a Super Admin, I should be able to sign in to the admin console with my Organization ID, email and password, with an option to remember me on the same device.</t>
        </is>
      </c>
      <c r="E7" s="94" t="inlineStr">
        <is>
          <t>Retained</t>
        </is>
      </c>
      <c r="F7" s="94" t="inlineStr">
        <is>
          <t>Yes</t>
        </is>
      </c>
      <c r="G7" s="87" t="n">
        <v>2</v>
      </c>
      <c r="H7" s="87" t="n">
        <v>2</v>
      </c>
      <c r="I7" s="148" t="inlineStr">
        <is>
          <t>Prototype Link</t>
        </is>
      </c>
      <c r="J7" s="87" t="n"/>
    </row>
    <row r="8" ht="14.25" customHeight="1" s="144">
      <c r="A8" s="94" t="n"/>
      <c r="B8" s="94" t="inlineStr">
        <is>
          <t>Sign In</t>
        </is>
      </c>
      <c r="C8" s="94" t="inlineStr">
        <is>
          <t>Two-Factor Verification</t>
        </is>
      </c>
      <c r="D8" s="97" t="inlineStr">
        <is>
          <t>As a Super Admin, I should enter a code from my authenticator app to complete sign-in when asked (once a week and on a new device).</t>
        </is>
      </c>
      <c r="E8" s="94" t="inlineStr">
        <is>
          <t>Retained</t>
        </is>
      </c>
      <c r="F8" s="94" t="inlineStr">
        <is>
          <t>Yes</t>
        </is>
      </c>
      <c r="G8" s="87" t="n">
        <v>2</v>
      </c>
      <c r="H8" s="87" t="n">
        <v>2</v>
      </c>
      <c r="I8" s="148" t="inlineStr">
        <is>
          <t>Prototype Link</t>
        </is>
      </c>
      <c r="J8" s="87" t="n"/>
    </row>
    <row r="9" ht="14.25" customHeight="1" s="144">
      <c r="A9" s="94" t="n"/>
      <c r="B9" s="94" t="inlineStr">
        <is>
          <t>Forgot Password</t>
        </is>
      </c>
      <c r="C9" s="94" t="inlineStr">
        <is>
          <t>Forgot &amp; Reset Password</t>
        </is>
      </c>
      <c r="D9" s="97" t="inlineStr">
        <is>
          <t>As a Super Admin, I want to reset my password with a code sent to my email so that I can get back into my account if I forget it.</t>
        </is>
      </c>
      <c r="E9" s="94" t="inlineStr">
        <is>
          <t>Retained</t>
        </is>
      </c>
      <c r="F9" s="94" t="inlineStr">
        <is>
          <t>Yes</t>
        </is>
      </c>
      <c r="G9" s="87" t="n">
        <v>2</v>
      </c>
      <c r="H9" s="87" t="n">
        <v>2</v>
      </c>
      <c r="I9" s="148" t="inlineStr">
        <is>
          <t>Prototype Link</t>
        </is>
      </c>
      <c r="J9" s="87" t="n"/>
    </row>
    <row r="10" ht="14.25" customHeight="1" s="144">
      <c r="A10" s="104" t="inlineStr">
        <is>
          <t>DASHBOARDS</t>
        </is>
      </c>
      <c r="B10" s="147" t="n"/>
      <c r="C10" s="106" t="n"/>
      <c r="D10" s="80" t="n"/>
      <c r="E10" s="106" t="n"/>
      <c r="F10" s="106" t="n"/>
      <c r="G10" s="106" t="n"/>
      <c r="H10" s="106" t="n"/>
      <c r="I10" s="106" t="n"/>
      <c r="J10" s="106" t="n"/>
    </row>
    <row r="11" ht="14.25" customHeight="1" s="144">
      <c r="A11" s="94" t="n"/>
      <c r="B11" s="94" t="inlineStr">
        <is>
          <t>Dashboard</t>
        </is>
      </c>
      <c r="C11" s="94" t="inlineStr">
        <is>
          <t>Engagement &amp; outcomes</t>
        </is>
      </c>
      <c r="D11" s="97" t="inlineStr">
        <is>
          <t>As a HOL analyst, I can view cohort, engagement and outcome dashboards.</t>
        </is>
      </c>
      <c r="E11" s="94" t="inlineStr">
        <is>
          <t>Retained</t>
        </is>
      </c>
      <c r="F11" s="94" t="inlineStr">
        <is>
          <t>Yes</t>
        </is>
      </c>
      <c r="G11" s="87" t="n">
        <v>4</v>
      </c>
      <c r="H11" s="87" t="n">
        <v>6</v>
      </c>
      <c r="I11" s="148" t="inlineStr">
        <is>
          <t>Prototype Link</t>
        </is>
      </c>
      <c r="J11" s="87" t="n"/>
    </row>
    <row r="12" ht="14.25" customHeight="1" s="144">
      <c r="A12" s="94" t="n"/>
      <c r="B12" s="94" t="inlineStr">
        <is>
          <t>Dashboard</t>
        </is>
      </c>
      <c r="C12" s="94" t="inlineStr">
        <is>
          <t>Care-gap view</t>
        </is>
      </c>
      <c r="D12" s="97" t="inlineStr">
        <is>
          <t>As a HOL analyst, I can view care gaps across a panel.</t>
        </is>
      </c>
      <c r="E12" s="94" t="inlineStr">
        <is>
          <t>Removed</t>
        </is>
      </c>
      <c r="F12" s="94" t="inlineStr">
        <is>
          <t>Yes</t>
        </is>
      </c>
      <c r="G12" s="87" t="n">
        <v>2</v>
      </c>
      <c r="H12" s="87" t="n">
        <v>4</v>
      </c>
      <c r="I12" s="94" t="n"/>
      <c r="J12" s="87" t="n"/>
    </row>
    <row r="13" ht="14.25" customHeight="1" s="144">
      <c r="A13" s="94" t="n"/>
      <c r="B13" s="94" t="inlineStr">
        <is>
          <t>Dashboard</t>
        </is>
      </c>
      <c r="C13" s="94" t="inlineStr">
        <is>
          <t>Practice value &amp; renewal</t>
        </is>
      </c>
      <c r="D13" s="97" t="inlineStr">
        <is>
          <t>As a HOL analyst, I can view value and renewal-supporting metrics.</t>
        </is>
      </c>
      <c r="E13" s="94" t="inlineStr">
        <is>
          <t>Removed</t>
        </is>
      </c>
      <c r="F13" s="94" t="inlineStr">
        <is>
          <t>Yes</t>
        </is>
      </c>
      <c r="G13" s="87" t="n">
        <v>4</v>
      </c>
      <c r="H13" s="87" t="n">
        <v>6</v>
      </c>
      <c r="I13" s="94" t="n"/>
      <c r="J13" s="87" t="n"/>
    </row>
    <row r="14" ht="14.25" customHeight="1" s="144">
      <c r="A14" s="94" t="n"/>
      <c r="B14" s="94" t="inlineStr">
        <is>
          <t>Navigation</t>
        </is>
      </c>
      <c r="C14" s="94" t="inlineStr">
        <is>
          <t>Navigation &amp; Notifications</t>
        </is>
      </c>
      <c r="D14" s="97" t="inlineStr">
        <is>
          <t>As a Super Admin, I should be able to move between Dashboard, Practices and Settings from a collapsible side menu, and view my notifications from the bell icon.</t>
        </is>
      </c>
      <c r="E14" s="94" t="inlineStr">
        <is>
          <t>New</t>
        </is>
      </c>
      <c r="F14" s="94" t="inlineStr">
        <is>
          <t>Yes</t>
        </is>
      </c>
      <c r="G14" s="87" t="n">
        <v>2</v>
      </c>
      <c r="H14" s="87" t="n">
        <v>2</v>
      </c>
      <c r="I14" s="148" t="inlineStr">
        <is>
          <t>Prototype Link</t>
        </is>
      </c>
      <c r="J14" s="87" t="n"/>
    </row>
    <row r="15" ht="14.25" customHeight="1" s="144">
      <c r="A15" s="94" t="n"/>
      <c r="B15" s="94" t="inlineStr">
        <is>
          <t>Navigation</t>
        </is>
      </c>
      <c r="C15" s="94" t="inlineStr">
        <is>
          <t>Global Search</t>
        </is>
      </c>
      <c r="D15" s="97" t="inlineStr">
        <is>
          <t>As a Super Admin, I should be able to search across the admin console from the top bar.</t>
        </is>
      </c>
      <c r="E15" s="94" t="inlineStr">
        <is>
          <t>New</t>
        </is>
      </c>
      <c r="F15" s="94" t="inlineStr">
        <is>
          <t>Yes</t>
        </is>
      </c>
      <c r="G15" s="87" t="n">
        <v>2</v>
      </c>
      <c r="H15" s="87" t="n">
        <v>4</v>
      </c>
      <c r="I15" s="148" t="inlineStr">
        <is>
          <t>Prototype Link</t>
        </is>
      </c>
      <c r="J15" s="87" t="n"/>
    </row>
    <row r="16" ht="14.25" customHeight="1" s="144">
      <c r="A16" s="94" t="n"/>
      <c r="B16" s="94" t="inlineStr">
        <is>
          <t>Dashboard</t>
        </is>
      </c>
      <c r="C16" s="94" t="inlineStr">
        <is>
          <t>Dashboard Filters</t>
        </is>
      </c>
      <c r="D16" s="97" t="inlineStr">
        <is>
          <t>As a Super Admin, I should be able to filter the dashboard by date range (preset or custom) and by all regions or one region.</t>
        </is>
      </c>
      <c r="E16" s="94" t="inlineStr">
        <is>
          <t>New</t>
        </is>
      </c>
      <c r="F16" s="94" t="inlineStr">
        <is>
          <t>Yes</t>
        </is>
      </c>
      <c r="G16" s="87" t="n">
        <v>2</v>
      </c>
      <c r="H16" s="87" t="n">
        <v>2</v>
      </c>
      <c r="I16" s="148" t="inlineStr">
        <is>
          <t>Prototype Link</t>
        </is>
      </c>
      <c r="J16" s="87" t="n"/>
    </row>
    <row r="17" ht="14.25" customHeight="1" s="144">
      <c r="A17" s="94" t="n"/>
      <c r="B17" s="94" t="inlineStr">
        <is>
          <t>Dashboard</t>
        </is>
      </c>
      <c r="C17" s="94" t="inlineStr">
        <is>
          <t>Summary Cards</t>
        </is>
      </c>
      <c r="D17" s="97" t="inlineStr">
        <is>
          <t>As a Super Admin, I should see the number of users onboarded, providers onboarded and patients enrolled, each against its total with the percentage.</t>
        </is>
      </c>
      <c r="E17" s="94" t="inlineStr">
        <is>
          <t>New</t>
        </is>
      </c>
      <c r="F17" s="94" t="inlineStr">
        <is>
          <t>Yes</t>
        </is>
      </c>
      <c r="G17" s="87" t="n">
        <v>2</v>
      </c>
      <c r="H17" s="87" t="n">
        <v>2</v>
      </c>
      <c r="I17" s="148" t="inlineStr">
        <is>
          <t>Prototype Link</t>
        </is>
      </c>
      <c r="J17" s="87" t="n"/>
    </row>
    <row r="18" ht="14.25" customHeight="1" s="144">
      <c r="A18" s="94" t="n"/>
      <c r="B18" s="94" t="inlineStr">
        <is>
          <t>Dashboard</t>
        </is>
      </c>
      <c r="C18" s="94" t="inlineStr">
        <is>
          <t>Enrolment by State</t>
        </is>
      </c>
      <c r="D18" s="97" t="inlineStr">
        <is>
          <t>As a Super Admin, I should see enrolment across the US on a map by state status, with an enrolment summary and the three highest and three lowest regions.</t>
        </is>
      </c>
      <c r="E18" s="94" t="inlineStr">
        <is>
          <t>New</t>
        </is>
      </c>
      <c r="F18" s="94" t="inlineStr">
        <is>
          <t>Yes</t>
        </is>
      </c>
      <c r="G18" s="87" t="n">
        <v>4</v>
      </c>
      <c r="H18" s="87" t="n">
        <v>2</v>
      </c>
      <c r="I18" s="148" t="inlineStr">
        <is>
          <t>Prototype Link</t>
        </is>
      </c>
      <c r="J18" s="87" t="n"/>
    </row>
    <row r="19" ht="14.25" customHeight="1" s="144">
      <c r="A19" s="94" t="n"/>
      <c r="B19" s="94" t="inlineStr">
        <is>
          <t>Dashboard</t>
        </is>
      </c>
      <c r="C19" s="94" t="inlineStr">
        <is>
          <t>Invites &amp; Conversion</t>
        </is>
      </c>
      <c r="D19" s="97" t="inlineStr">
        <is>
          <t>As a Super Admin, I should see invites sent, patients enrolled and the conversion rate, with a weekly chart of invites against enrolments.</t>
        </is>
      </c>
      <c r="E19" s="94" t="inlineStr">
        <is>
          <t>New</t>
        </is>
      </c>
      <c r="F19" s="94" t="inlineStr">
        <is>
          <t>Yes</t>
        </is>
      </c>
      <c r="G19" s="87" t="n">
        <v>2</v>
      </c>
      <c r="H19" s="87" t="n">
        <v>2</v>
      </c>
      <c r="I19" s="148" t="inlineStr">
        <is>
          <t>Prototype Link</t>
        </is>
      </c>
      <c r="J19" s="87" t="n"/>
    </row>
    <row r="20" ht="14.25" customHeight="1" s="144">
      <c r="A20" s="94" t="n"/>
      <c r="B20" s="94" t="inlineStr">
        <is>
          <t>Dashboard</t>
        </is>
      </c>
      <c r="C20" s="94" t="inlineStr">
        <is>
          <t>Patient Status &amp; Enrolment Funnel</t>
        </is>
      </c>
      <c r="D20" s="97" t="inlineStr">
        <is>
          <t>As a Super Admin, I should see how many patients are enrolled, pending or declined, and the enrolment funnel from invited to answered to enrolled.</t>
        </is>
      </c>
      <c r="E20" s="94" t="inlineStr">
        <is>
          <t>New</t>
        </is>
      </c>
      <c r="F20" s="94" t="inlineStr">
        <is>
          <t>Yes</t>
        </is>
      </c>
      <c r="G20" s="87" t="n">
        <v>2</v>
      </c>
      <c r="H20" s="87" t="n">
        <v>2</v>
      </c>
      <c r="I20" s="148" t="inlineStr">
        <is>
          <t>Prototype Link</t>
        </is>
      </c>
      <c r="J20" s="87" t="n"/>
    </row>
    <row r="21" ht="14.25" customHeight="1" s="144">
      <c r="A21" s="94" t="n"/>
      <c r="B21" s="94" t="inlineStr">
        <is>
          <t>Dashboard</t>
        </is>
      </c>
      <c r="C21" s="94" t="inlineStr">
        <is>
          <t>Practices on Inlay</t>
        </is>
      </c>
      <c r="D21" s="97" t="inlineStr">
        <is>
          <t>As a Super Admin, I should see the total number of practices, how many were added in the selected period, and a chart of practices added over time.</t>
        </is>
      </c>
      <c r="E21" s="94" t="inlineStr">
        <is>
          <t>New</t>
        </is>
      </c>
      <c r="F21" s="94" t="inlineStr">
        <is>
          <t>Yes</t>
        </is>
      </c>
      <c r="G21" s="87" t="n">
        <v>2</v>
      </c>
      <c r="H21" s="87" t="n">
        <v>2</v>
      </c>
      <c r="I21" s="148" t="inlineStr">
        <is>
          <t>Prototype Link</t>
        </is>
      </c>
      <c r="J21" s="87" t="n"/>
    </row>
    <row r="22" ht="14.25" customHeight="1" s="144">
      <c r="A22" s="94" t="n"/>
      <c r="B22" s="94" t="inlineStr">
        <is>
          <t>Dashboard</t>
        </is>
      </c>
      <c r="C22" s="94" t="inlineStr">
        <is>
          <t>Region Table</t>
        </is>
      </c>
      <c r="D22" s="97" t="inlineStr">
        <is>
          <t>As a Super Admin, I should view each region’s practices, providers, patients, enrolment counts and enrolment rate, listed from lowest to highest rate.</t>
        </is>
      </c>
      <c r="E22" s="94" t="inlineStr">
        <is>
          <t>New</t>
        </is>
      </c>
      <c r="F22" s="94" t="inlineStr">
        <is>
          <t>Yes</t>
        </is>
      </c>
      <c r="G22" s="87" t="n">
        <v>4</v>
      </c>
      <c r="H22" s="87" t="n">
        <v>2</v>
      </c>
      <c r="I22" s="148" t="inlineStr">
        <is>
          <t>Prototype Link</t>
        </is>
      </c>
      <c r="J22" s="87" t="n"/>
    </row>
    <row r="23" ht="14.25" customHeight="1" s="144">
      <c r="A23" s="104" t="inlineStr">
        <is>
          <t>CLINICAL CONTENT CONSOLE</t>
        </is>
      </c>
      <c r="B23" s="147" t="n"/>
      <c r="C23" s="106" t="n"/>
      <c r="D23" s="80" t="n"/>
      <c r="E23" s="106" t="n"/>
      <c r="F23" s="106" t="n"/>
      <c r="G23" s="106" t="n"/>
      <c r="H23" s="106" t="n"/>
      <c r="I23" s="106" t="n"/>
      <c r="J23" s="106" t="n"/>
    </row>
    <row r="24" ht="14.25" customHeight="1" s="144">
      <c r="A24" s="94" t="n"/>
      <c r="B24" s="94" t="inlineStr">
        <is>
          <t>Clinical Content</t>
        </is>
      </c>
      <c r="C24" s="94" t="inlineStr">
        <is>
          <t>Clinical Content Overview</t>
        </is>
      </c>
      <c r="D24" s="97" t="inlineStr">
        <is>
          <t>As a super admin, I should see all clinical content areas (catalog, protocols, rules, forecast, eval and evidence) in one place and open any of them.</t>
        </is>
      </c>
      <c r="E24" s="94" t="inlineStr">
        <is>
          <t>New</t>
        </is>
      </c>
      <c r="F24" s="94" t="n"/>
      <c r="G24" s="87" t="n">
        <v>2</v>
      </c>
      <c r="H24" s="87" t="n">
        <v>2</v>
      </c>
      <c r="I24" s="148" t="inlineStr">
        <is>
          <t>Prototype Link</t>
        </is>
      </c>
      <c r="J24" s="87" t="n"/>
    </row>
    <row r="25" ht="14.25" customHeight="1" s="144">
      <c r="A25" s="94" t="n"/>
      <c r="B25" s="94" t="inlineStr">
        <is>
          <t>Catalog</t>
        </is>
      </c>
      <c r="C25" s="94" t="inlineStr">
        <is>
          <t>Biomarker definitions</t>
        </is>
      </c>
      <c r="D25" s="97" t="inlineStr">
        <is>
          <t xml:space="preserve">As a clinical admin, I can maintain  biomarker definitions and canonical units by adding, editing, search, filter and retiring biomarkers.      </t>
        </is>
      </c>
      <c r="E25" s="94" t="inlineStr">
        <is>
          <t>Modified</t>
        </is>
      </c>
      <c r="F25" s="94" t="inlineStr">
        <is>
          <t>Yes</t>
        </is>
      </c>
      <c r="G25" s="87" t="n">
        <v>4</v>
      </c>
      <c r="H25" s="87" t="n">
        <v>6</v>
      </c>
      <c r="I25" s="148" t="inlineStr">
        <is>
          <t>Prototype Link</t>
        </is>
      </c>
      <c r="J25" s="87" t="n"/>
    </row>
    <row r="26" ht="14.25" customHeight="1" s="144">
      <c r="A26" s="94" t="n"/>
      <c r="B26" s="94" t="inlineStr">
        <is>
          <t>Catalog</t>
        </is>
      </c>
      <c r="C26" s="94" t="inlineStr">
        <is>
          <t>Range management</t>
        </is>
      </c>
      <c r="D26" s="97" t="inlineStr">
        <is>
          <t>As a clinical admin, I can set lab range, physician target, and HOL optimal range separately.</t>
        </is>
      </c>
      <c r="E26" s="94" t="inlineStr">
        <is>
          <t>Retained</t>
        </is>
      </c>
      <c r="F26" s="94" t="inlineStr">
        <is>
          <t>Yes</t>
        </is>
      </c>
      <c r="G26" s="87" t="n">
        <v>4</v>
      </c>
      <c r="H26" s="87" t="n">
        <v>6</v>
      </c>
      <c r="I26" s="148" t="inlineStr">
        <is>
          <t>Prototype Link</t>
        </is>
      </c>
      <c r="J26" s="87" t="n"/>
    </row>
    <row r="27" ht="14.25" customHeight="1" s="144">
      <c r="A27" s="94" t="n"/>
      <c r="B27" s="94" t="inlineStr">
        <is>
          <t>Catalog</t>
        </is>
      </c>
      <c r="C27" s="94" t="inlineStr">
        <is>
          <t>Range List</t>
        </is>
      </c>
      <c r="D27" s="97" t="inlineStr">
        <is>
          <t>As a clinical admin, I should see each biomarker’s unit, lab range, physician target and Inlay optimal range in one list, and search, filter, select and export it.</t>
        </is>
      </c>
      <c r="E27" s="94" t="inlineStr">
        <is>
          <t>New</t>
        </is>
      </c>
      <c r="F27" s="94" t="n"/>
      <c r="G27" s="87" t="n">
        <v>2</v>
      </c>
      <c r="H27" s="87" t="n">
        <v>2</v>
      </c>
      <c r="I27" s="148" t="inlineStr">
        <is>
          <t>Prototype Link</t>
        </is>
      </c>
      <c r="J27" s="87" t="n"/>
    </row>
    <row r="28" ht="14.25" customHeight="1" s="144">
      <c r="A28" s="94" t="n"/>
      <c r="B28" s="94" t="inlineStr">
        <is>
          <t>Catalog</t>
        </is>
      </c>
      <c r="C28" s="94" t="inlineStr">
        <is>
          <t>Sex/age rules</t>
        </is>
      </c>
      <c r="D28" s="97" t="inlineStr">
        <is>
          <t>As a clinical admin, I can set sex/age display and scoring rules by adding, editing and deleting them.</t>
        </is>
      </c>
      <c r="E28" s="94" t="inlineStr">
        <is>
          <t>Retained</t>
        </is>
      </c>
      <c r="F28" s="94" t="inlineStr">
        <is>
          <t>Yes</t>
        </is>
      </c>
      <c r="G28" s="87" t="n">
        <v>2</v>
      </c>
      <c r="H28" s="87" t="n">
        <v>4</v>
      </c>
      <c r="I28" s="148" t="inlineStr">
        <is>
          <t>Prototype Link</t>
        </is>
      </c>
      <c r="J28" s="87" t="n"/>
    </row>
    <row r="29" ht="14.25" customHeight="1" s="144">
      <c r="A29" s="94" t="n"/>
      <c r="B29" s="94" t="inlineStr">
        <is>
          <t>Catalog</t>
        </is>
      </c>
      <c r="C29" s="94" t="inlineStr">
        <is>
          <t>Sex/Age Rule List</t>
        </is>
      </c>
      <c r="D29" s="97" t="inlineStr">
        <is>
          <t>As a clinical admin, I should see all sex and age rules with the biomarker, sex, age, ranges, display and scoring for each, and search, filter them.</t>
        </is>
      </c>
      <c r="E29" s="94" t="inlineStr">
        <is>
          <t>New</t>
        </is>
      </c>
      <c r="F29" s="94" t="n"/>
      <c r="G29" s="87" t="n">
        <v>2</v>
      </c>
      <c r="H29" s="87" t="n">
        <v>2</v>
      </c>
      <c r="I29" s="148" t="inlineStr">
        <is>
          <t>Prototype Link</t>
        </is>
      </c>
      <c r="J29" s="87" t="n"/>
    </row>
    <row r="30" ht="14.25" customHeight="1" s="144">
      <c r="A30" s="94" t="n"/>
      <c r="B30" s="94" t="inlineStr">
        <is>
          <t>Protocols</t>
        </is>
      </c>
      <c r="C30" s="94" t="inlineStr">
        <is>
          <t>Author protocols</t>
        </is>
      </c>
      <c r="D30" s="97" t="inlineStr">
        <is>
          <t>As the Medical Director, I can author protocols and SOPs.</t>
        </is>
      </c>
      <c r="E30" s="94" t="inlineStr">
        <is>
          <t>Removed</t>
        </is>
      </c>
      <c r="F30" s="94" t="inlineStr">
        <is>
          <t>Yes</t>
        </is>
      </c>
      <c r="G30" s="87" t="n">
        <v>4</v>
      </c>
      <c r="H30" s="87" t="n">
        <v>6</v>
      </c>
      <c r="I30" s="94" t="n"/>
      <c r="J30" s="87" t="n"/>
    </row>
    <row r="31" ht="14.25" customHeight="1" s="144">
      <c r="A31" s="94" t="n"/>
      <c r="B31" s="94" t="inlineStr">
        <is>
          <t>Protocols</t>
        </is>
      </c>
      <c r="C31" s="94" t="inlineStr">
        <is>
          <t>Versioning</t>
        </is>
      </c>
      <c r="D31" s="97" t="inlineStr">
        <is>
          <t>As the Medical Director, I can version the library with source citations.</t>
        </is>
      </c>
      <c r="E31" s="94" t="inlineStr">
        <is>
          <t>Removed</t>
        </is>
      </c>
      <c r="F31" s="94" t="inlineStr">
        <is>
          <t>Yes</t>
        </is>
      </c>
      <c r="G31" s="87" t="n">
        <v>4</v>
      </c>
      <c r="H31" s="87" t="n">
        <v>6</v>
      </c>
      <c r="I31" s="94" t="n"/>
      <c r="J31" s="87" t="n"/>
    </row>
    <row r="32" ht="14.25" customHeight="1" s="144">
      <c r="A32" s="94" t="n"/>
      <c r="B32" s="94" t="inlineStr">
        <is>
          <t>Protocols</t>
        </is>
      </c>
      <c r="C32" s="94" t="inlineStr">
        <is>
          <t>Approval workflow</t>
        </is>
      </c>
      <c r="D32" s="97" t="inlineStr">
        <is>
          <t>As the Medical Director, I can approve content before it goes live.</t>
        </is>
      </c>
      <c r="E32" s="94" t="inlineStr">
        <is>
          <t>Removed</t>
        </is>
      </c>
      <c r="F32" s="94" t="inlineStr">
        <is>
          <t>Yes</t>
        </is>
      </c>
      <c r="G32" s="87" t="n">
        <v>2</v>
      </c>
      <c r="H32" s="87" t="n">
        <v>4</v>
      </c>
      <c r="I32" s="94" t="n"/>
      <c r="J32" s="87" t="n"/>
    </row>
    <row r="33" ht="14.25" customHeight="1" s="144">
      <c r="A33" s="94" t="n"/>
      <c r="B33" s="94" t="inlineStr">
        <is>
          <t>Rules</t>
        </is>
      </c>
      <c r="C33" s="94" t="inlineStr">
        <is>
          <t>Alert rules</t>
        </is>
      </c>
      <c r="D33" s="97" t="inlineStr">
        <is>
          <t>As a clinical admin, I can configure the deterministic safety/priority rules by adding and editing rules and turning each one on or off.</t>
        </is>
      </c>
      <c r="E33" s="94" t="inlineStr">
        <is>
          <t>Modified</t>
        </is>
      </c>
      <c r="F33" s="94" t="inlineStr">
        <is>
          <t>Yes</t>
        </is>
      </c>
      <c r="G33" s="87" t="n">
        <v>4</v>
      </c>
      <c r="H33" s="87" t="n">
        <v>6</v>
      </c>
      <c r="I33" s="148" t="inlineStr">
        <is>
          <t>Prototype Link</t>
        </is>
      </c>
      <c r="J33" s="87" t="n"/>
    </row>
    <row r="34" ht="14.25" customHeight="1" s="144">
      <c r="A34" s="94" t="n"/>
      <c r="B34" s="94" t="inlineStr">
        <is>
          <t>Rules</t>
        </is>
      </c>
      <c r="C34" s="94" t="inlineStr">
        <is>
          <t>Alert Rule List</t>
        </is>
      </c>
      <c r="D34" s="97" t="inlineStr">
        <is>
          <t>As a clinical admin, I should see all alert rules with their condition, priority, action and whether each is on, and search, filter.</t>
        </is>
      </c>
      <c r="E34" s="94" t="inlineStr">
        <is>
          <t>New</t>
        </is>
      </c>
      <c r="F34" s="94" t="n"/>
      <c r="G34" s="87" t="n">
        <v>2</v>
      </c>
      <c r="H34" s="87" t="n">
        <v>2</v>
      </c>
      <c r="I34" s="148" t="inlineStr">
        <is>
          <t>Prototype Link</t>
        </is>
      </c>
      <c r="J34" s="87" t="n"/>
    </row>
    <row r="35" ht="14.25" customHeight="1" s="144">
      <c r="A35" s="94" t="n"/>
      <c r="B35" s="94" t="inlineStr">
        <is>
          <t>Rules</t>
        </is>
      </c>
      <c r="C35" s="94" t="inlineStr">
        <is>
          <t>Score weights</t>
        </is>
      </c>
      <c r="D35" s="97" t="inlineStr">
        <is>
          <t>As a clinical admin, I can set overall/domain score weights and algorithm version.</t>
        </is>
      </c>
      <c r="E35" s="94" t="inlineStr">
        <is>
          <t>Removed</t>
        </is>
      </c>
      <c r="F35" s="94" t="inlineStr">
        <is>
          <t>Yes</t>
        </is>
      </c>
      <c r="G35" s="87" t="n">
        <v>4</v>
      </c>
      <c r="H35" s="87" t="n">
        <v>6</v>
      </c>
      <c r="I35" s="94" t="n"/>
      <c r="J35" s="87" t="n"/>
    </row>
    <row r="36" ht="14.25" customHeight="1" s="144">
      <c r="A36" s="94" t="n"/>
      <c r="B36" s="94" t="inlineStr">
        <is>
          <t>Forecast</t>
        </is>
      </c>
      <c r="C36" s="94" t="inlineStr">
        <is>
          <t>Forecast thresholds</t>
        </is>
      </c>
      <c r="D36" s="97" t="inlineStr">
        <is>
          <t>As a clinical admin, I can set forecast confidence thresholds and minimum data points.</t>
        </is>
      </c>
      <c r="E36" s="94" t="inlineStr">
        <is>
          <t>Removed</t>
        </is>
      </c>
      <c r="F36" s="94" t="inlineStr">
        <is>
          <t>Yes</t>
        </is>
      </c>
      <c r="G36" s="87" t="n">
        <v>2</v>
      </c>
      <c r="H36" s="87" t="n">
        <v>4</v>
      </c>
      <c r="I36" s="94" t="n"/>
      <c r="J36" s="87" t="n"/>
    </row>
    <row r="37" ht="14.25" customHeight="1" s="144">
      <c r="A37" s="94" t="n"/>
      <c r="B37" s="94" t="inlineStr">
        <is>
          <t>Eval</t>
        </is>
      </c>
      <c r="C37" s="94" t="inlineStr">
        <is>
          <t>Test-case library</t>
        </is>
      </c>
      <c r="D37" s="97" t="inlineStr">
        <is>
          <t>As the Medical Director, I can author graded clinical test cases. (Immaging and lab order)</t>
        </is>
      </c>
      <c r="E37" s="94" t="inlineStr">
        <is>
          <t>Retained</t>
        </is>
      </c>
      <c r="F37" s="94" t="inlineStr">
        <is>
          <t>Yes</t>
        </is>
      </c>
      <c r="G37" s="87" t="n">
        <v>4</v>
      </c>
      <c r="H37" s="87" t="n">
        <v>6</v>
      </c>
      <c r="I37" s="148" t="inlineStr">
        <is>
          <t>Prototype Link</t>
        </is>
      </c>
      <c r="J37" s="87" t="n"/>
    </row>
    <row r="38" ht="14.25" customHeight="1" s="144">
      <c r="A38" s="94" t="n"/>
      <c r="B38" s="94" t="inlineStr">
        <is>
          <t>Eval</t>
        </is>
      </c>
      <c r="C38" s="94" t="inlineStr">
        <is>
          <t>Test-Case List</t>
        </is>
      </c>
      <c r="D38" s="97" t="inlineStr">
        <is>
          <t>As the Medical Director, I should see all clinical test cases with their area, severity, expected outcome and latest result, and search, filter, select and export them.</t>
        </is>
      </c>
      <c r="E38" s="94" t="inlineStr">
        <is>
          <t>New</t>
        </is>
      </c>
      <c r="F38" s="94" t="n"/>
      <c r="G38" s="87" t="n">
        <v>2</v>
      </c>
      <c r="H38" s="87" t="n">
        <v>2</v>
      </c>
      <c r="I38" s="148" t="inlineStr">
        <is>
          <t>Prototype Link</t>
        </is>
      </c>
      <c r="J38" s="87" t="n"/>
    </row>
    <row r="39" ht="14.25" customHeight="1" s="144">
      <c r="A39" s="94" t="n"/>
      <c r="B39" s="94" t="inlineStr">
        <is>
          <t>Eval</t>
        </is>
      </c>
      <c r="C39" s="94" t="inlineStr">
        <is>
          <t>Regression gate</t>
        </is>
      </c>
      <c r="D39" s="97" t="inlineStr">
        <is>
          <t>As an engineer, a change is regression-tested before it ships.</t>
        </is>
      </c>
      <c r="E39" s="94" t="inlineStr">
        <is>
          <t>Removed</t>
        </is>
      </c>
      <c r="F39" s="94" t="inlineStr">
        <is>
          <t>Yes</t>
        </is>
      </c>
      <c r="G39" s="87" t="n">
        <v>2</v>
      </c>
      <c r="H39" s="87" t="n">
        <v>6</v>
      </c>
      <c r="I39" s="94" t="n"/>
      <c r="J39" s="87" t="n"/>
    </row>
    <row r="40" ht="14.25" customHeight="1" s="144">
      <c r="A40" s="94" t="n"/>
      <c r="B40" s="94" t="inlineStr">
        <is>
          <t>Eval</t>
        </is>
      </c>
      <c r="C40" s="94" t="inlineStr">
        <is>
          <t>Version log</t>
        </is>
      </c>
      <c r="D40" s="97" t="inlineStr">
        <is>
          <t>As an engineer, prompt/model/protocol versions are logged for reproducibility.</t>
        </is>
      </c>
      <c r="E40" s="94" t="inlineStr">
        <is>
          <t>Removed</t>
        </is>
      </c>
      <c r="F40" s="94" t="inlineStr">
        <is>
          <t>Yes</t>
        </is>
      </c>
      <c r="G40" s="87" t="n">
        <v>2</v>
      </c>
      <c r="H40" s="87" t="n">
        <v>4</v>
      </c>
      <c r="I40" s="94" t="n"/>
      <c r="J40" s="87" t="n"/>
    </row>
    <row r="41" ht="14.25" customHeight="1" s="144">
      <c r="A41" s="94" t="n"/>
      <c r="B41" s="94" t="inlineStr">
        <is>
          <t>Evidence</t>
        </is>
      </c>
      <c r="C41" s="94" t="inlineStr">
        <is>
          <t>Source expiry &amp; re-review</t>
        </is>
      </c>
      <c r="D41" s="97" t="inlineStr">
        <is>
          <t>As a HOL clinical admin, sources carry expiration/review dates so a guideline update or safety notice triggers re-review.</t>
        </is>
      </c>
      <c r="E41" s="94" t="inlineStr">
        <is>
          <t>Removed</t>
        </is>
      </c>
      <c r="F41" s="94" t="inlineStr">
        <is>
          <t>Yes</t>
        </is>
      </c>
      <c r="G41" s="87" t="n">
        <v>2</v>
      </c>
      <c r="H41" s="87" t="n">
        <v>2</v>
      </c>
      <c r="I41" s="94" t="n"/>
      <c r="J41" s="87" t="n"/>
    </row>
    <row r="42" ht="14.25" customHeight="1" s="144">
      <c r="A42" s="104" t="inlineStr">
        <is>
          <t>OPERATIONS CONSOLE</t>
        </is>
      </c>
      <c r="B42" s="147" t="n"/>
      <c r="C42" s="106" t="n"/>
      <c r="D42" s="80" t="n"/>
      <c r="E42" s="106" t="n"/>
      <c r="F42" s="106" t="n"/>
      <c r="G42" s="106" t="n"/>
      <c r="H42" s="106" t="n"/>
      <c r="I42" s="106" t="n"/>
      <c r="J42" s="106" t="n"/>
    </row>
    <row r="43" ht="14.25" customHeight="1" s="144">
      <c r="A43" s="94" t="n"/>
      <c r="B43" s="94" t="inlineStr">
        <is>
          <t>Integration health</t>
        </is>
      </c>
      <c r="C43" s="94" t="inlineStr">
        <is>
          <t>Monitor connections</t>
        </is>
      </c>
      <c r="D43" s="97" t="inlineStr">
        <is>
          <t>As ops, I can see the health of EMR, Terra, and partner connections.</t>
        </is>
      </c>
      <c r="E43" s="94" t="inlineStr">
        <is>
          <t>Retained</t>
        </is>
      </c>
      <c r="F43" s="94" t="inlineStr">
        <is>
          <t>Yes</t>
        </is>
      </c>
      <c r="G43" s="87" t="n">
        <v>4</v>
      </c>
      <c r="H43" s="87" t="n">
        <v>6</v>
      </c>
      <c r="I43" s="149" t="inlineStr">
        <is>
          <t>Not Req</t>
        </is>
      </c>
      <c r="J43" s="87" t="n"/>
    </row>
    <row r="44" ht="14.25" customHeight="1" s="144">
      <c r="A44" s="94" t="n"/>
      <c r="B44" s="94" t="inlineStr">
        <is>
          <t>Integration health</t>
        </is>
      </c>
      <c r="C44" s="94" t="inlineStr">
        <is>
          <t>Failed imports</t>
        </is>
      </c>
      <c r="D44" s="97" t="inlineStr">
        <is>
          <t>As ops, I can see and retry failed imports.</t>
        </is>
      </c>
      <c r="E44" s="94" t="inlineStr">
        <is>
          <t>Retained</t>
        </is>
      </c>
      <c r="F44" s="94" t="inlineStr">
        <is>
          <t>Yes</t>
        </is>
      </c>
      <c r="G44" s="87" t="n">
        <v>2</v>
      </c>
      <c r="H44" s="87" t="n">
        <v>6</v>
      </c>
      <c r="I44" s="94" t="inlineStr">
        <is>
          <t>Not Req</t>
        </is>
      </c>
      <c r="J44" s="87" t="n"/>
    </row>
    <row r="45" ht="14.25" customHeight="1" s="144">
      <c r="A45" s="94" t="n"/>
      <c r="B45" s="94" t="inlineStr">
        <is>
          <t>Integration health</t>
        </is>
      </c>
      <c r="C45" s="94" t="inlineStr">
        <is>
          <t>Sync status</t>
        </is>
      </c>
      <c r="D45" s="97" t="inlineStr">
        <is>
          <t>As ops, I can see per-patient sync timestamps.</t>
        </is>
      </c>
      <c r="E45" s="94" t="inlineStr">
        <is>
          <t>Retained</t>
        </is>
      </c>
      <c r="F45" s="94" t="inlineStr">
        <is>
          <t>Yes</t>
        </is>
      </c>
      <c r="G45" s="87" t="n">
        <v>2</v>
      </c>
      <c r="H45" s="87" t="n">
        <v>4</v>
      </c>
      <c r="I45" s="94" t="inlineStr">
        <is>
          <t>Not Req</t>
        </is>
      </c>
      <c r="J45" s="87" t="n"/>
    </row>
    <row r="46" ht="14.25" customHeight="1" s="144">
      <c r="A46" s="94" t="n"/>
      <c r="B46" s="94" t="inlineStr">
        <is>
          <t>Parsing review</t>
        </is>
      </c>
      <c r="C46" s="94" t="inlineStr">
        <is>
          <t>Verification queue</t>
        </is>
      </c>
      <c r="D46" s="97" t="inlineStr">
        <is>
          <t>As ops, I can review low-confidence document extractions.</t>
        </is>
      </c>
      <c r="E46" s="94" t="inlineStr">
        <is>
          <t>Retained</t>
        </is>
      </c>
      <c r="F46" s="94" t="inlineStr">
        <is>
          <t>Yes</t>
        </is>
      </c>
      <c r="G46" s="87" t="n">
        <v>4</v>
      </c>
      <c r="H46" s="87" t="n">
        <v>6</v>
      </c>
      <c r="I46" s="94" t="inlineStr">
        <is>
          <t>Not Req</t>
        </is>
      </c>
      <c r="J46" s="87" t="n"/>
    </row>
    <row r="47" ht="14.25" customHeight="1" s="144">
      <c r="A47" s="94" t="n"/>
      <c r="B47" s="94" t="inlineStr">
        <is>
          <t>Parsing review</t>
        </is>
      </c>
      <c r="C47" s="94" t="inlineStr">
        <is>
          <t>Correct &amp; approve</t>
        </is>
      </c>
      <c r="D47" s="97" t="inlineStr">
        <is>
          <t>As ops, I can correct and approve an extraction.</t>
        </is>
      </c>
      <c r="E47" s="94" t="inlineStr">
        <is>
          <t>Retained</t>
        </is>
      </c>
      <c r="F47" s="94" t="inlineStr">
        <is>
          <t>Yes</t>
        </is>
      </c>
      <c r="G47" s="87" t="n">
        <v>2</v>
      </c>
      <c r="H47" s="87" t="n">
        <v>4</v>
      </c>
      <c r="I47" s="94" t="inlineStr">
        <is>
          <t>Not Req</t>
        </is>
      </c>
      <c r="J47" s="87" t="n"/>
    </row>
    <row r="48" ht="14.25" customHeight="1" s="144">
      <c r="A48" s="94" t="n"/>
      <c r="B48" s="94" t="inlineStr">
        <is>
          <t>Settings</t>
        </is>
      </c>
      <c r="C48" s="94" t="inlineStr">
        <is>
          <t>Settings Overview</t>
        </is>
      </c>
      <c r="D48" s="97" t="inlineStr">
        <is>
          <t>As a Super Admin, I should see all settings areas in one place and open any of them.</t>
        </is>
      </c>
      <c r="E48" s="94" t="inlineStr">
        <is>
          <t>New</t>
        </is>
      </c>
      <c r="F48" s="94" t="inlineStr">
        <is>
          <t>Yes</t>
        </is>
      </c>
      <c r="G48" s="87" t="n">
        <v>2</v>
      </c>
      <c r="H48" s="87" t="n">
        <v>2</v>
      </c>
      <c r="I48" s="148" t="inlineStr">
        <is>
          <t>Prototype Link</t>
        </is>
      </c>
      <c r="J48" s="87" t="n"/>
    </row>
    <row r="49" ht="14.25" customHeight="1" s="144">
      <c r="A49" s="94" t="n"/>
      <c r="B49" s="94" t="inlineStr">
        <is>
          <t>AI</t>
        </is>
      </c>
      <c r="C49" s="94" t="inlineStr">
        <is>
          <t>AI Credit Allowance</t>
        </is>
      </c>
      <c r="D49" s="97" t="inlineStr">
        <is>
          <t>As a Super Admin, I can set how much free and paid patients can use Ask Inlay, and over what period.</t>
        </is>
      </c>
      <c r="E49" s="94" t="inlineStr">
        <is>
          <t>New</t>
        </is>
      </c>
      <c r="F49" s="94" t="inlineStr">
        <is>
          <t>Yes</t>
        </is>
      </c>
      <c r="G49" s="87" t="n">
        <v>2</v>
      </c>
      <c r="H49" s="87" t="n">
        <v>2</v>
      </c>
      <c r="I49" s="148" t="inlineStr">
        <is>
          <t>Prototype Link</t>
        </is>
      </c>
      <c r="J49" s="87" t="n"/>
    </row>
    <row r="50" ht="14.25" customHeight="1" s="144">
      <c r="A50" s="94" t="n"/>
      <c r="B50" s="94" t="inlineStr">
        <is>
          <t>Partners</t>
        </is>
      </c>
      <c r="C50" s="94" t="inlineStr">
        <is>
          <t>Partner List</t>
        </is>
      </c>
      <c r="D50" s="97" t="inlineStr">
        <is>
          <t>As a Super Admin, I should see all partners with their type, locations, services, contact and status, and search, filter</t>
        </is>
      </c>
      <c r="E50" s="94" t="inlineStr">
        <is>
          <t>New</t>
        </is>
      </c>
      <c r="F50" s="94" t="inlineStr">
        <is>
          <t>Yes</t>
        </is>
      </c>
      <c r="G50" s="87" t="n">
        <v>2</v>
      </c>
      <c r="H50" s="87" t="n">
        <v>2</v>
      </c>
      <c r="I50" s="148" t="inlineStr">
        <is>
          <t>Prototype Link</t>
        </is>
      </c>
      <c r="J50" s="87" t="n"/>
    </row>
    <row r="51" ht="14.25" customHeight="1" s="144">
      <c r="A51" s="94" t="n"/>
      <c r="B51" s="94" t="inlineStr">
        <is>
          <t>Partners</t>
        </is>
      </c>
      <c r="C51" s="94" t="inlineStr">
        <is>
          <t>Add &amp; Edit Partner</t>
        </is>
      </c>
      <c r="D51" s="97" t="inlineStr">
        <is>
          <t>As a Super Admin, I can add a partner and edit its details, locations, services and contact person.</t>
        </is>
      </c>
      <c r="E51" s="94" t="inlineStr">
        <is>
          <t>New</t>
        </is>
      </c>
      <c r="F51" s="94" t="inlineStr">
        <is>
          <t>Yes</t>
        </is>
      </c>
      <c r="G51" s="87" t="n">
        <v>4</v>
      </c>
      <c r="H51" s="87" t="n">
        <v>2</v>
      </c>
      <c r="I51" s="148" t="inlineStr">
        <is>
          <t>Prototype Link</t>
        </is>
      </c>
      <c r="J51" s="87" t="n"/>
    </row>
    <row r="52" ht="14.25" customHeight="1" s="144">
      <c r="A52" s="94" t="n"/>
      <c r="B52" s="94" t="inlineStr">
        <is>
          <t>Consent</t>
        </is>
      </c>
      <c r="C52" s="94" t="inlineStr">
        <is>
          <t>Consent status</t>
        </is>
      </c>
      <c r="D52" s="97" t="inlineStr">
        <is>
          <t>As ops, I can see consent status per patient and scope.</t>
        </is>
      </c>
      <c r="E52" s="94" t="inlineStr">
        <is>
          <t>Removed</t>
        </is>
      </c>
      <c r="F52" s="94" t="inlineStr">
        <is>
          <t>No</t>
        </is>
      </c>
      <c r="G52" s="87" t="n">
        <v>2</v>
      </c>
      <c r="H52" s="87" t="n">
        <v>4</v>
      </c>
      <c r="I52" s="94" t="n"/>
      <c r="J52" s="87" t="n"/>
    </row>
    <row r="53" ht="14.25" customHeight="1" s="144">
      <c r="A53" s="94" t="n"/>
      <c r="B53" s="94" t="inlineStr">
        <is>
          <t>Audit</t>
        </is>
      </c>
      <c r="C53" s="94" t="inlineStr">
        <is>
          <t>Audit logs</t>
        </is>
      </c>
      <c r="D53" s="97" t="inlineStr">
        <is>
          <t>As ops, I can view the immutable audit trail of access and edits and export the audit log</t>
        </is>
      </c>
      <c r="E53" s="94" t="inlineStr">
        <is>
          <t>Retained</t>
        </is>
      </c>
      <c r="F53" s="94" t="inlineStr">
        <is>
          <t>Yes</t>
        </is>
      </c>
      <c r="G53" s="87" t="n">
        <v>4</v>
      </c>
      <c r="H53" s="87" t="n">
        <v>6</v>
      </c>
      <c r="I53" s="148" t="inlineStr">
        <is>
          <t>Prototype Link</t>
        </is>
      </c>
      <c r="J53" s="87" t="n"/>
    </row>
    <row r="54" ht="14.25" customHeight="1" s="144">
      <c r="A54" s="94" t="n"/>
      <c r="B54" s="87" t="inlineStr">
        <is>
          <t>Security</t>
        </is>
      </c>
      <c r="C54" s="87" t="inlineStr">
        <is>
          <t>User &amp; access admin</t>
        </is>
      </c>
      <c r="D54" s="84" t="inlineStr">
        <is>
          <t>As a system admin, I can view security, MFA, and break-glass access (logged).</t>
        </is>
      </c>
      <c r="E54" s="87" t="inlineStr">
        <is>
          <t>Retained</t>
        </is>
      </c>
      <c r="F54" s="87" t="inlineStr">
        <is>
          <t>Yes</t>
        </is>
      </c>
      <c r="G54" s="87" t="n">
        <v>4</v>
      </c>
      <c r="H54" s="87" t="n">
        <v>6</v>
      </c>
      <c r="I54" s="87" t="inlineStr">
        <is>
          <t>Not Req</t>
        </is>
      </c>
      <c r="J54" s="87" t="n"/>
    </row>
    <row r="55" ht="14.25" customHeight="1" s="144">
      <c r="A55" s="104" t="inlineStr">
        <is>
          <t>PRACTICES</t>
        </is>
      </c>
      <c r="B55" s="147" t="n"/>
      <c r="C55" s="106" t="n"/>
      <c r="D55" s="80" t="n"/>
      <c r="E55" s="106" t="n"/>
      <c r="F55" s="106" t="n"/>
      <c r="G55" s="106" t="n"/>
      <c r="H55" s="106" t="n"/>
      <c r="I55" s="106" t="n"/>
      <c r="J55" s="106" t="n"/>
    </row>
    <row r="56" ht="14.25" customHeight="1" s="144">
      <c r="A56" s="94" t="n"/>
      <c r="B56" s="94" t="inlineStr">
        <is>
          <t>Practice List</t>
        </is>
      </c>
      <c r="C56" s="94" t="inlineStr">
        <is>
          <t>Practice List</t>
        </is>
      </c>
      <c r="D56" s="97" t="inlineStr">
        <is>
          <t>As a Super Admin, I should see all practices with their key details and conversion, and search, filter and page through them.</t>
        </is>
      </c>
      <c r="E56" s="94" t="inlineStr">
        <is>
          <t>New</t>
        </is>
      </c>
      <c r="F56" s="94" t="inlineStr">
        <is>
          <t>Yes</t>
        </is>
      </c>
      <c r="G56" s="87" t="n">
        <v>2</v>
      </c>
      <c r="H56" s="87" t="n">
        <v>2</v>
      </c>
      <c r="I56" s="148" t="inlineStr">
        <is>
          <t>Prototype Link</t>
        </is>
      </c>
      <c r="J56" s="87" t="n"/>
    </row>
    <row r="57" ht="14.25" customHeight="1" s="144">
      <c r="A57" s="94" t="n"/>
      <c r="B57" s="94" t="inlineStr">
        <is>
          <t>Tenancy</t>
        </is>
      </c>
      <c r="C57" s="94" t="inlineStr">
        <is>
          <t>Tenant admin</t>
        </is>
      </c>
      <c r="D57" s="97" t="inlineStr">
        <is>
          <t>As a Super Admin, I should be able to add a practice (a new tenant) with its details, contact, location, messaging number and the features it can use.</t>
        </is>
      </c>
      <c r="E57" s="94" t="inlineStr">
        <is>
          <t>Modified</t>
        </is>
      </c>
      <c r="F57" s="94" t="inlineStr">
        <is>
          <t>Yes</t>
        </is>
      </c>
      <c r="G57" s="87" t="n">
        <v>2</v>
      </c>
      <c r="H57" s="87" t="n">
        <v>4</v>
      </c>
      <c r="I57" s="148" t="inlineStr">
        <is>
          <t>Prototype Link</t>
        </is>
      </c>
      <c r="J57" s="87" t="n"/>
    </row>
    <row r="58" ht="14.25" customHeight="1" s="144">
      <c r="A58" s="94" t="n"/>
      <c r="B58" s="94" t="inlineStr">
        <is>
          <t>Practice Details</t>
        </is>
      </c>
      <c r="C58" s="94" t="inlineStr">
        <is>
          <t>Practice Overview</t>
        </is>
      </c>
      <c r="D58" s="97" t="inlineStr">
        <is>
          <t>As a Super Admin, I should be able to open a practice and see its adoption summary and full information.</t>
        </is>
      </c>
      <c r="E58" s="94" t="inlineStr">
        <is>
          <t>New</t>
        </is>
      </c>
      <c r="F58" s="94" t="inlineStr">
        <is>
          <t>Yes</t>
        </is>
      </c>
      <c r="G58" s="87" t="n">
        <v>2</v>
      </c>
      <c r="H58" s="87" t="n">
        <v>2</v>
      </c>
      <c r="I58" s="148" t="inlineStr">
        <is>
          <t>Prototype Link</t>
        </is>
      </c>
      <c r="J58" s="87" t="n"/>
    </row>
    <row r="59" ht="14.25" customHeight="1" s="144">
      <c r="A59" s="94" t="n"/>
      <c r="B59" s="94" t="inlineStr">
        <is>
          <t>Practice Details</t>
        </is>
      </c>
      <c r="C59" s="94" t="inlineStr">
        <is>
          <t>Edit &amp; Deactivate Practice</t>
        </is>
      </c>
      <c r="D59" s="97" t="inlineStr">
        <is>
          <t>As a Super Admin, I should be able to edit a practice’s details and feature access, or deactivate the practice.</t>
        </is>
      </c>
      <c r="E59" s="94" t="inlineStr">
        <is>
          <t>New</t>
        </is>
      </c>
      <c r="F59" s="94" t="inlineStr">
        <is>
          <t>Yes</t>
        </is>
      </c>
      <c r="G59" s="87" t="n">
        <v>2</v>
      </c>
      <c r="H59" s="87" t="n">
        <v>2</v>
      </c>
      <c r="I59" s="148" t="inlineStr">
        <is>
          <t>Prototype Link</t>
        </is>
      </c>
      <c r="J59" s="87" t="n"/>
    </row>
    <row r="60" ht="14.25" customHeight="1" s="144">
      <c r="A60" s="94" t="n"/>
      <c r="B60" s="94" t="inlineStr">
        <is>
          <t>Practice Details</t>
        </is>
      </c>
      <c r="C60" s="94" t="inlineStr">
        <is>
          <t>Providers &amp; Users</t>
        </is>
      </c>
      <c r="D60" s="97" t="inlineStr">
        <is>
          <t>As a Super Admin, I should see a practice’s providers with their enrolment progress, and its users with their role and activity.</t>
        </is>
      </c>
      <c r="E60" s="94" t="inlineStr">
        <is>
          <t>New</t>
        </is>
      </c>
      <c r="F60" s="94" t="inlineStr">
        <is>
          <t>Yes</t>
        </is>
      </c>
      <c r="G60" s="87" t="n">
        <v>2</v>
      </c>
      <c r="H60" s="87" t="n">
        <v>2</v>
      </c>
      <c r="I60" s="148" t="inlineStr">
        <is>
          <t>Prototype Link</t>
        </is>
      </c>
      <c r="J60" s="87" t="n"/>
    </row>
    <row r="61" ht="14.25" customHeight="1" s="144">
      <c r="A61" s="104" t="inlineStr">
        <is>
          <t>NOTIFICATIONS</t>
        </is>
      </c>
      <c r="B61" s="147" t="n"/>
      <c r="C61" s="106" t="n"/>
      <c r="D61" s="80" t="n"/>
      <c r="E61" s="106" t="n"/>
      <c r="F61" s="106" t="n"/>
      <c r="G61" s="106" t="n"/>
      <c r="H61" s="106" t="n"/>
      <c r="I61" s="106" t="n"/>
      <c r="J61" s="106" t="n"/>
    </row>
    <row r="62" ht="14.25" customHeight="1" s="144">
      <c r="A62" s="94" t="n"/>
      <c r="B62" s="94" t="inlineStr">
        <is>
          <t>Notifications</t>
        </is>
      </c>
      <c r="C62" s="94" t="inlineStr">
        <is>
          <t>Ops alerts</t>
        </is>
      </c>
      <c r="D62" s="97" t="inlineStr">
        <is>
          <t>As HOL ops, I receive alerts for integration failures and parsing-review items.</t>
        </is>
      </c>
      <c r="E62" s="94" t="inlineStr">
        <is>
          <t>Retained</t>
        </is>
      </c>
      <c r="F62" s="94" t="inlineStr">
        <is>
          <t>Yes</t>
        </is>
      </c>
      <c r="G62" s="87" t="n">
        <v>2</v>
      </c>
      <c r="H62" s="87" t="n">
        <v>4</v>
      </c>
      <c r="I62" s="94" t="inlineStr">
        <is>
          <t>Not Req</t>
        </is>
      </c>
      <c r="J62" s="87" t="n"/>
    </row>
    <row r="63" ht="14.25" customHeight="1" s="144">
      <c r="A63" s="104" t="inlineStr">
        <is>
          <t>BACK OFFICE &amp; CATALOG</t>
        </is>
      </c>
      <c r="B63" s="147" t="n"/>
      <c r="C63" s="106" t="n"/>
      <c r="D63" s="80" t="n"/>
      <c r="E63" s="106" t="n"/>
      <c r="F63" s="106" t="n"/>
      <c r="G63" s="106" t="n"/>
      <c r="H63" s="106" t="n"/>
      <c r="I63" s="106" t="n"/>
      <c r="J63" s="106" t="n"/>
    </row>
    <row r="64" ht="14.25" customHeight="1" s="144">
      <c r="A64" s="94" t="n"/>
      <c r="B64" s="94" t="inlineStr">
        <is>
          <t>Back office</t>
        </is>
      </c>
      <c r="C64" s="94" t="inlineStr">
        <is>
          <t>Add-on catalog</t>
        </is>
      </c>
      <c r="D64" s="97" t="inlineStr">
        <is>
          <t>As HOL ops, I can manage the add-on catalog and pricing.</t>
        </is>
      </c>
      <c r="E64" s="94" t="inlineStr">
        <is>
          <t>Retained</t>
        </is>
      </c>
      <c r="F64" s="94" t="inlineStr">
        <is>
          <t>Yes</t>
        </is>
      </c>
      <c r="G64" s="87" t="n">
        <v>4</v>
      </c>
      <c r="H64" s="87" t="n">
        <v>6</v>
      </c>
      <c r="I64" s="148" t="inlineStr">
        <is>
          <t>Prototype Link</t>
        </is>
      </c>
      <c r="J64" s="87" t="n"/>
    </row>
    <row r="65" ht="14.25" customHeight="1" s="144">
      <c r="A65" s="94" t="n"/>
      <c r="B65" s="94" t="inlineStr">
        <is>
          <t>Back office</t>
        </is>
      </c>
      <c r="C65" s="94" t="inlineStr">
        <is>
          <t>Commission tracking</t>
        </is>
      </c>
      <c r="D65" s="97" t="inlineStr">
        <is>
          <t>As HOL ops, I can track partner commissions.</t>
        </is>
      </c>
      <c r="E65" s="94" t="inlineStr">
        <is>
          <t>Retained</t>
        </is>
      </c>
      <c r="F65" s="94" t="inlineStr">
        <is>
          <t>Yes</t>
        </is>
      </c>
      <c r="G65" s="87" t="n">
        <v>2</v>
      </c>
      <c r="H65" s="87" t="n">
        <v>4</v>
      </c>
      <c r="I65" s="94" t="inlineStr">
        <is>
          <t>Not Req</t>
        </is>
      </c>
      <c r="J65" s="87" t="n"/>
    </row>
    <row r="66" ht="14.25" customHeight="1" s="144">
      <c r="A66" s="94" t="n"/>
      <c r="B66" s="94" t="inlineStr">
        <is>
          <t>Back office</t>
        </is>
      </c>
      <c r="C66" s="94" t="inlineStr">
        <is>
          <t>Usage &amp; billing admin</t>
        </is>
      </c>
      <c r="D66" s="97" t="inlineStr">
        <is>
          <t>As HOL ops, I can administer usage, billing and revenue-share settlement.</t>
        </is>
      </c>
      <c r="E66" s="94" t="inlineStr">
        <is>
          <t>Retained</t>
        </is>
      </c>
      <c r="F66" s="94" t="inlineStr">
        <is>
          <t>Yes</t>
        </is>
      </c>
      <c r="G66" s="87" t="n">
        <v>4</v>
      </c>
      <c r="H66" s="87" t="n">
        <v>8</v>
      </c>
      <c r="I66" s="148" t="inlineStr">
        <is>
          <t>Prototype Link</t>
        </is>
      </c>
      <c r="J66" s="87" t="n"/>
    </row>
    <row r="67" ht="14.25" customHeight="1" s="144">
      <c r="A67" s="104" t="inlineStr">
        <is>
          <t>BILLING</t>
        </is>
      </c>
      <c r="B67" s="147" t="n"/>
      <c r="C67" s="106" t="n"/>
      <c r="D67" s="80" t="n"/>
      <c r="E67" s="106" t="n"/>
      <c r="F67" s="106" t="n"/>
      <c r="G67" s="106" t="n"/>
      <c r="H67" s="106" t="n"/>
      <c r="I67" s="106" t="n"/>
      <c r="J67" s="106" t="n"/>
    </row>
    <row r="68" ht="14.25" customHeight="1" s="144">
      <c r="A68" s="94" t="n"/>
      <c r="B68" s="94" t="inlineStr">
        <is>
          <t>Billing</t>
        </is>
      </c>
      <c r="C68" s="94" t="inlineStr">
        <is>
          <t>Billing Dashboard</t>
        </is>
      </c>
      <c r="D68" s="97" t="inlineStr">
        <is>
          <t>As a Super Admin, I can see billing KPIs and items that need attention.</t>
        </is>
      </c>
      <c r="E68" s="94" t="inlineStr">
        <is>
          <t>New</t>
        </is>
      </c>
      <c r="F68" s="94" t="inlineStr">
        <is>
          <t>Yes</t>
        </is>
      </c>
      <c r="G68" s="87" t="n">
        <v>2</v>
      </c>
      <c r="H68" s="87" t="n">
        <v>2</v>
      </c>
      <c r="I68" s="94" t="inlineStr">
        <is>
          <t>Not Req</t>
        </is>
      </c>
      <c r="J68" s="87" t="n"/>
    </row>
    <row r="69" ht="14.25" customHeight="1" s="144">
      <c r="A69" s="94" t="n"/>
      <c r="B69" s="94" t="inlineStr">
        <is>
          <t>Billing</t>
        </is>
      </c>
      <c r="C69" s="94" t="inlineStr">
        <is>
          <t>Pricing &amp; catalog config</t>
        </is>
      </c>
      <c r="D69" s="97" t="inlineStr">
        <is>
          <t>As HOL ops, I can configure pricing, membership tiers and the add-on catalog.</t>
        </is>
      </c>
      <c r="E69" s="94" t="inlineStr">
        <is>
          <t>Retained</t>
        </is>
      </c>
      <c r="F69" s="94" t="inlineStr">
        <is>
          <t>Yes</t>
        </is>
      </c>
      <c r="G69" s="87" t="n">
        <v>4</v>
      </c>
      <c r="H69" s="87" t="n">
        <v>6</v>
      </c>
      <c r="I69" s="148" t="inlineStr">
        <is>
          <t>Prototype Link</t>
        </is>
      </c>
      <c r="J69" s="87" t="n"/>
    </row>
    <row r="70" ht="14.25" customHeight="1" s="144">
      <c r="A70" s="94" t="n"/>
      <c r="B70" s="94" t="inlineStr">
        <is>
          <t>Billing</t>
        </is>
      </c>
      <c r="C70" s="94" t="inlineStr">
        <is>
          <t>Test &amp; Imaging Catalogue</t>
        </is>
      </c>
      <c r="D70" s="97" t="inlineStr">
        <is>
          <t>As a Super Admin, I can add lab and imaging tests with their vendor, category, code and vendor details.</t>
        </is>
      </c>
      <c r="E70" s="94" t="inlineStr">
        <is>
          <t>New</t>
        </is>
      </c>
      <c r="F70" s="94" t="inlineStr">
        <is>
          <t>Yes</t>
        </is>
      </c>
      <c r="G70" s="87" t="n">
        <v>2</v>
      </c>
      <c r="H70" s="87" t="n">
        <v>2</v>
      </c>
      <c r="I70" s="148" t="inlineStr">
        <is>
          <t>Prototype Link</t>
        </is>
      </c>
      <c r="J70" s="87" t="n"/>
    </row>
    <row r="71" ht="14.25" customHeight="1" s="144">
      <c r="A71" s="94" t="n"/>
      <c r="B71" s="94" t="inlineStr">
        <is>
          <t>Billing</t>
        </is>
      </c>
      <c r="C71" s="94" t="inlineStr">
        <is>
          <t>Price &amp; Margin Calculation</t>
        </is>
      </c>
      <c r="D71" s="97" t="inlineStr">
        <is>
          <t>As a Super Admin, I can set a test’s price from the vendor rate plus margin, regional override and tax, and see the provider price, patient price and vendor payout.</t>
        </is>
      </c>
      <c r="E71" s="94" t="inlineStr">
        <is>
          <t>New</t>
        </is>
      </c>
      <c r="F71" s="94" t="inlineStr">
        <is>
          <t>Yes</t>
        </is>
      </c>
      <c r="G71" s="87" t="n">
        <v>2</v>
      </c>
      <c r="H71" s="87" t="n">
        <v>4</v>
      </c>
      <c r="I71" s="148" t="inlineStr">
        <is>
          <t>Prototype Link</t>
        </is>
      </c>
      <c r="J71" s="87" t="n"/>
    </row>
    <row r="72" ht="14.25" customHeight="1" s="144">
      <c r="A72" s="94" t="n"/>
      <c r="B72" s="94" t="inlineStr">
        <is>
          <t>Billing</t>
        </is>
      </c>
      <c r="C72" s="94" t="inlineStr">
        <is>
          <t>Membership &amp; AI Allowance</t>
        </is>
      </c>
      <c r="D72" s="97" t="inlineStr">
        <is>
          <t>As a Super Admin, I can set monthly and annual membership prices, discounts and each plan’s AI chat allowance, and see active users per plan.</t>
        </is>
      </c>
      <c r="E72" s="94" t="inlineStr">
        <is>
          <t>New</t>
        </is>
      </c>
      <c r="F72" s="94" t="inlineStr">
        <is>
          <t>Yes</t>
        </is>
      </c>
      <c r="G72" s="87" t="n">
        <v>2</v>
      </c>
      <c r="H72" s="87" t="n">
        <v>2</v>
      </c>
      <c r="I72" s="148" t="inlineStr">
        <is>
          <t>Prototype Link</t>
        </is>
      </c>
      <c r="J72" s="87" t="n"/>
    </row>
    <row r="73" ht="14.25" customHeight="1" s="144">
      <c r="A73" s="94" t="n"/>
      <c r="B73" s="94" t="inlineStr">
        <is>
          <t>Billing</t>
        </is>
      </c>
      <c r="C73" s="94" t="inlineStr">
        <is>
          <t>Practice Billing Terms</t>
        </is>
      </c>
      <c r="D73" s="97" t="inlineStr">
        <is>
          <t>As a Super Admin, I can set each practice’s invoice frequency, payment terms, grace period and late fee.</t>
        </is>
      </c>
      <c r="E73" s="94" t="inlineStr">
        <is>
          <t>New</t>
        </is>
      </c>
      <c r="F73" s="94" t="inlineStr">
        <is>
          <t>Yes</t>
        </is>
      </c>
      <c r="G73" s="87" t="n">
        <v>2</v>
      </c>
      <c r="H73" s="87" t="n">
        <v>2</v>
      </c>
      <c r="I73" s="148" t="inlineStr">
        <is>
          <t>Prototype Link</t>
        </is>
      </c>
      <c r="J73" s="87" t="n"/>
    </row>
    <row r="74" ht="14.25" customHeight="1" s="144">
      <c r="A74" s="94" t="n"/>
      <c r="B74" s="94" t="inlineStr">
        <is>
          <t>Billing</t>
        </is>
      </c>
      <c r="C74" s="94" t="inlineStr">
        <is>
          <t>Practice Invoices</t>
        </is>
      </c>
      <c r="D74" s="97" t="inlineStr">
        <is>
          <t>As a Super Admin, I can generate, download and share practice invoices with a full breakdown, using internal and practice templates.</t>
        </is>
      </c>
      <c r="E74" s="94" t="inlineStr">
        <is>
          <t>New</t>
        </is>
      </c>
      <c r="F74" s="94" t="inlineStr">
        <is>
          <t>Yes</t>
        </is>
      </c>
      <c r="G74" s="87" t="n">
        <v>4</v>
      </c>
      <c r="H74" s="87" t="n">
        <v>4</v>
      </c>
      <c r="I74" s="148" t="inlineStr">
        <is>
          <t>Prototype Link</t>
        </is>
      </c>
      <c r="J74" s="87" t="n"/>
    </row>
    <row r="75" ht="14.25" customHeight="1" s="144">
      <c r="A75" s="94" t="n"/>
      <c r="B75" s="94" t="inlineStr">
        <is>
          <t>Billing</t>
        </is>
      </c>
      <c r="C75" s="94" t="inlineStr">
        <is>
          <t>Refunds &amp; adjustments</t>
        </is>
      </c>
      <c r="D75" s="97" t="inlineStr">
        <is>
          <t>As HOL ops, I can issue refunds to the original payment method, apply credits for orders that didn’t complete, and make billing adjustments.</t>
        </is>
      </c>
      <c r="E75" s="94" t="inlineStr">
        <is>
          <t>Modified</t>
        </is>
      </c>
      <c r="F75" s="94" t="inlineStr">
        <is>
          <t>Yes</t>
        </is>
      </c>
      <c r="G75" s="87" t="n">
        <v>2</v>
      </c>
      <c r="H75" s="87" t="n">
        <v>4</v>
      </c>
      <c r="I75" s="148" t="inlineStr">
        <is>
          <t>Prototype Link</t>
        </is>
      </c>
      <c r="J75" s="87" t="n"/>
    </row>
    <row r="76" ht="14.25" customHeight="1" s="144">
      <c r="A76" s="94" t="n"/>
      <c r="B76" s="94" t="inlineStr">
        <is>
          <t>Billing</t>
        </is>
      </c>
      <c r="C76" s="94" t="inlineStr">
        <is>
          <t>Usage metering &amp; reconcile</t>
        </is>
      </c>
      <c r="D76" s="97" t="inlineStr">
        <is>
          <t>As HOL ops, I can meter AI usage and reconcile it against billing.</t>
        </is>
      </c>
      <c r="E76" s="94" t="inlineStr">
        <is>
          <t>Retained</t>
        </is>
      </c>
      <c r="F76" s="94" t="inlineStr">
        <is>
          <t>Yes</t>
        </is>
      </c>
      <c r="G76" s="87" t="n">
        <v>4</v>
      </c>
      <c r="H76" s="87" t="n">
        <v>6</v>
      </c>
      <c r="I76" s="148" t="inlineStr">
        <is>
          <t>Prototype Link</t>
        </is>
      </c>
      <c r="J76" s="87" t="n"/>
    </row>
    <row r="77" ht="14.25" customHeight="1" s="144">
      <c r="A77" s="94" t="n"/>
      <c r="B77" s="94" t="inlineStr">
        <is>
          <t>Billing</t>
        </is>
      </c>
      <c r="C77" s="94" t="inlineStr">
        <is>
          <t>Sales Tax</t>
        </is>
      </c>
      <c r="D77" s="97" t="inlineStr">
        <is>
          <t>As the system, I calculate sales tax at checkout and produce reports for filing.</t>
        </is>
      </c>
      <c r="E77" s="94" t="inlineStr">
        <is>
          <t>New</t>
        </is>
      </c>
      <c r="F77" s="94" t="inlineStr">
        <is>
          <t>Yes</t>
        </is>
      </c>
      <c r="G77" s="87" t="n">
        <v>2</v>
      </c>
      <c r="H77" s="87" t="n">
        <v>2</v>
      </c>
      <c r="I77" s="94" t="inlineStr">
        <is>
          <t>Not Req</t>
        </is>
      </c>
      <c r="J77" s="87" t="n"/>
    </row>
    <row r="78" ht="14.25" customHeight="1" s="144">
      <c r="A78" s="94" t="n"/>
      <c r="B78" s="94" t="inlineStr">
        <is>
          <t>Billing</t>
        </is>
      </c>
      <c r="C78" s="94" t="inlineStr">
        <is>
          <t>Billing reports</t>
        </is>
      </c>
      <c r="D78" s="97" t="inlineStr">
        <is>
          <t>As HOL ops, I can produce billing and revenue reports, including vendor payouts, revenue by lab and imaging, cancellation and late-fee losses, overdue practices, and totals by channel.</t>
        </is>
      </c>
      <c r="E78" s="94" t="inlineStr">
        <is>
          <t>Modified</t>
        </is>
      </c>
      <c r="F78" s="94" t="inlineStr">
        <is>
          <t>Yes</t>
        </is>
      </c>
      <c r="G78" s="87" t="n">
        <v>2</v>
      </c>
      <c r="H78" s="87" t="n">
        <v>4</v>
      </c>
      <c r="I78" s="148" t="inlineStr">
        <is>
          <t>Prototype Link</t>
        </is>
      </c>
      <c r="J78" s="87" t="n"/>
    </row>
    <row r="79" ht="14.25" customHeight="1" s="144">
      <c r="A79" s="94" t="n"/>
      <c r="B79" s="94" t="inlineStr">
        <is>
          <t>Billing</t>
        </is>
      </c>
      <c r="C79" s="94" t="inlineStr">
        <is>
          <t>Seller-of-record config</t>
        </is>
      </c>
      <c r="D79" s="97" t="inlineStr">
        <is>
          <t>As HOL ops, I can configure the seller-of-record per practice.</t>
        </is>
      </c>
      <c r="E79" s="94" t="inlineStr">
        <is>
          <t>Removed</t>
        </is>
      </c>
      <c r="F79" s="94" t="inlineStr">
        <is>
          <t>No</t>
        </is>
      </c>
      <c r="G79" s="87" t="n">
        <v>2</v>
      </c>
      <c r="H79" s="87" t="n">
        <v>4</v>
      </c>
      <c r="I79" s="94" t="n"/>
      <c r="J79" s="87" t="n"/>
    </row>
    <row r="80" ht="14.25" customHeight="1" s="144">
      <c r="A80" s="94" t="n"/>
      <c r="B80" s="94" t="inlineStr">
        <is>
          <t>Billing</t>
        </is>
      </c>
      <c r="C80" s="94" t="inlineStr">
        <is>
          <t>Revenue-share settlement</t>
        </is>
      </c>
      <c r="D80" s="97" t="inlineStr">
        <is>
          <t>As HOL ops, I can run and review revenue-share settlement across practices.</t>
        </is>
      </c>
      <c r="E80" s="94" t="inlineStr">
        <is>
          <t>Retained</t>
        </is>
      </c>
      <c r="F80" s="94" t="inlineStr">
        <is>
          <t>Yes</t>
        </is>
      </c>
      <c r="G80" s="87" t="n">
        <v>4</v>
      </c>
      <c r="H80" s="87" t="n">
        <v>6</v>
      </c>
      <c r="I80" s="94" t="inlineStr">
        <is>
          <t>Not Req</t>
        </is>
      </c>
      <c r="J80" s="87" t="n"/>
    </row>
    <row r="81" ht="14.25" customHeight="1" s="144">
      <c r="A81" s="104" t="inlineStr">
        <is>
          <t>GOVERNANCE &amp; VALIDATION TOOLING</t>
        </is>
      </c>
      <c r="B81" s="147" t="n"/>
      <c r="C81" s="106" t="n"/>
      <c r="D81" s="80" t="n"/>
      <c r="E81" s="106" t="n"/>
      <c r="F81" s="106" t="n"/>
      <c r="G81" s="106" t="n"/>
      <c r="H81" s="106" t="n"/>
      <c r="I81" s="106" t="n"/>
      <c r="J81" s="106" t="n"/>
    </row>
    <row r="82" ht="14.25" customHeight="1" s="144">
      <c r="A82" s="94" t="n"/>
      <c r="B82" s="94" t="inlineStr">
        <is>
          <t>Governance</t>
        </is>
      </c>
      <c r="C82" s="94" t="inlineStr">
        <is>
          <t>Clinical safety test set</t>
        </is>
      </c>
      <c r="D82" s="97" t="inlineStr">
        <is>
          <t>As a HOL clinical admin, I maintain a representative clinical safety test set (rare conditions, conflicting/missing data, urgent, special populations) for release gating.</t>
        </is>
      </c>
      <c r="E82" s="94" t="inlineStr">
        <is>
          <t>Retained</t>
        </is>
      </c>
      <c r="F82" s="94" t="inlineStr">
        <is>
          <t>Yes</t>
        </is>
      </c>
      <c r="G82" s="87" t="n">
        <v>4</v>
      </c>
      <c r="H82" s="87" t="n">
        <v>8</v>
      </c>
      <c r="I82" s="148" t="inlineStr">
        <is>
          <t>Prototype Link</t>
        </is>
      </c>
      <c r="J82" s="87" t="n"/>
    </row>
    <row r="83" ht="14.25" customHeight="1" s="144">
      <c r="A83" s="94" t="n"/>
      <c r="B83" s="94" t="inlineStr">
        <is>
          <t>Governance</t>
        </is>
      </c>
      <c r="C83" s="94" t="inlineStr">
        <is>
          <t>Release-gate checklist</t>
        </is>
      </c>
      <c r="D83" s="97" t="inlineStr">
        <is>
          <t>As a HOL clinical admin, I can confirm minimum release requirements (intended use, provenance, policy engine, hard stops, firewall, privacy) are met before a pilot.</t>
        </is>
      </c>
      <c r="E83" s="94" t="inlineStr">
        <is>
          <t>Retained</t>
        </is>
      </c>
      <c r="F83" s="94" t="inlineStr">
        <is>
          <t>Yes</t>
        </is>
      </c>
      <c r="G83" s="87" t="n">
        <v>4</v>
      </c>
      <c r="H83" s="87" t="n">
        <v>6</v>
      </c>
      <c r="I83" s="94" t="inlineStr">
        <is>
          <t>Not Req</t>
        </is>
      </c>
      <c r="J83" s="87" t="n"/>
    </row>
    <row r="84" ht="14.25" customHeight="1" s="144">
      <c r="A84" s="94" t="n"/>
      <c r="B84" s="94" t="inlineStr">
        <is>
          <t>Governance</t>
        </is>
      </c>
      <c r="C84" s="94" t="inlineStr">
        <is>
          <t>Incident &amp; correction workflow</t>
        </is>
      </c>
      <c r="D84" s="97" t="inlineStr">
        <is>
          <t>As a HOL clinical admin, I can classify, investigate and resolve safety incidents and patient/physician corrections with closed-loop status.</t>
        </is>
      </c>
      <c r="E84" s="94" t="inlineStr">
        <is>
          <t>Retained</t>
        </is>
      </c>
      <c r="F84" s="94" t="inlineStr">
        <is>
          <t>Yes</t>
        </is>
      </c>
      <c r="G84" s="87" t="n">
        <v>4</v>
      </c>
      <c r="H84" s="87" t="n">
        <v>8</v>
      </c>
      <c r="I84" s="94" t="inlineStr">
        <is>
          <t>Not Req</t>
        </is>
      </c>
      <c r="J84" s="87" t="n"/>
    </row>
    <row r="85" ht="14.25" customHeight="1" s="144">
      <c r="A85" s="104" t="n"/>
      <c r="B85" s="147" t="n"/>
      <c r="C85" s="106" t="n"/>
      <c r="D85" s="80" t="n"/>
      <c r="E85" s="106" t="n"/>
      <c r="F85" s="106" t="n"/>
      <c r="G85" s="106" t="n"/>
      <c r="H85" s="106" t="n"/>
      <c r="I85" s="106" t="n"/>
      <c r="J85" s="106" t="n"/>
    </row>
    <row r="86" ht="14.25" customHeight="1" s="144">
      <c r="A86" s="94" t="n"/>
      <c r="B86" s="94" t="n"/>
      <c r="C86" s="94" t="n"/>
      <c r="D86" s="97" t="n"/>
      <c r="E86" s="94" t="inlineStr">
        <is>
          <t>Retained</t>
        </is>
      </c>
      <c r="F86" s="87" t="n"/>
      <c r="G86" s="87">
        <f>SUMIF(E4:E84,E86,G4:G84)</f>
        <v/>
      </c>
      <c r="H86" s="87">
        <f>SUMIF(E4:E84,E86,H4:H84)</f>
        <v/>
      </c>
      <c r="I86" s="94" t="n"/>
      <c r="J86" s="87" t="n"/>
    </row>
    <row r="87" ht="14.25" customHeight="1" s="144">
      <c r="A87" s="94" t="n"/>
      <c r="B87" s="94" t="n"/>
      <c r="C87" s="94" t="n"/>
      <c r="D87" s="97" t="n"/>
      <c r="E87" s="94" t="inlineStr">
        <is>
          <t>Modified</t>
        </is>
      </c>
      <c r="F87" s="87" t="n"/>
      <c r="G87" s="87">
        <f>SUMIF(E5:E85,E87,G5:G85)</f>
        <v/>
      </c>
      <c r="H87" s="87">
        <f>SUMIF(E4:E84,E87,H4:H84)</f>
        <v/>
      </c>
      <c r="I87" s="94" t="n"/>
      <c r="J87" s="87" t="n"/>
    </row>
    <row r="88" ht="14.25" customHeight="1" s="144">
      <c r="A88" s="94" t="n"/>
      <c r="B88" s="94" t="n"/>
      <c r="C88" s="94" t="n"/>
      <c r="D88" s="97" t="n"/>
      <c r="E88" s="94" t="inlineStr">
        <is>
          <t>New</t>
        </is>
      </c>
      <c r="F88" s="87" t="n"/>
      <c r="G88" s="87">
        <f>SUMIF(E4:E84,E88,G4:G84)</f>
        <v/>
      </c>
      <c r="H88" s="87">
        <f>SUMIF(E4:E84,E88,H4:H84)</f>
        <v/>
      </c>
      <c r="I88" s="94" t="n"/>
      <c r="J88" s="87" t="n"/>
    </row>
    <row r="89" ht="14.25" customHeight="1" s="144">
      <c r="A89" s="94" t="n"/>
      <c r="B89" s="94" t="n"/>
      <c r="C89" s="94" t="n"/>
      <c r="D89" s="97" t="n"/>
      <c r="E89" s="94" t="inlineStr">
        <is>
          <t>Removed</t>
        </is>
      </c>
      <c r="F89" s="87" t="n"/>
      <c r="G89" s="87">
        <f>SUMIF(E4:E84,E89,G4:G84)</f>
        <v/>
      </c>
      <c r="H89" s="87">
        <f>SUMIF(E4:E84,E89,H4:H84)</f>
        <v/>
      </c>
      <c r="I89" s="94" t="n"/>
      <c r="J89" s="87" t="n"/>
    </row>
    <row r="90" ht="14.25" customHeight="1" s="144">
      <c r="A90" s="94" t="n"/>
      <c r="B90" s="94" t="n"/>
      <c r="C90" s="94" t="n"/>
      <c r="D90" s="97" t="n"/>
      <c r="E90" s="102" t="inlineStr">
        <is>
          <t>Total</t>
        </is>
      </c>
      <c r="F90" s="87" t="n"/>
      <c r="G90" s="137">
        <f>SUM(G86:G88)</f>
        <v/>
      </c>
      <c r="H90" s="137">
        <f>SUM(H86:H88)</f>
        <v/>
      </c>
      <c r="I90" s="94" t="n"/>
      <c r="J90" s="87" t="n"/>
    </row>
    <row r="91" ht="14.25" customHeight="1" s="144">
      <c r="A91" s="94" t="n"/>
      <c r="B91" s="94" t="n"/>
      <c r="C91" s="94" t="n"/>
      <c r="D91" s="97" t="n"/>
      <c r="E91" s="94" t="n"/>
      <c r="F91" s="87" t="n"/>
      <c r="G91" s="87" t="n"/>
      <c r="H91" s="87" t="n"/>
      <c r="I91" s="94" t="n"/>
      <c r="J91" s="87" t="n"/>
    </row>
  </sheetData>
  <mergeCells count="10">
    <mergeCell ref="A3:B3"/>
    <mergeCell ref="A81:B81"/>
    <mergeCell ref="A63:B63"/>
    <mergeCell ref="A85:B85"/>
    <mergeCell ref="A10:B10"/>
    <mergeCell ref="A42:B42"/>
    <mergeCell ref="A23:B23"/>
    <mergeCell ref="A67:B67"/>
    <mergeCell ref="A61:B61"/>
    <mergeCell ref="A55:B55"/>
  </mergeCells>
  <dataValidations count="2">
    <dataValidation sqref="F4:F9 F11:F22 F24:F41 F43:F54 F56:F60 F62 F64:F66 F68:F80 F82:F84" showDropDown="0" showInputMessage="0" showErrorMessage="1" allowBlank="1" type="list">
      <formula1>"Yes,No,NTC"</formula1>
    </dataValidation>
    <dataValidation sqref="E4:E9 E11:E22 E24:E41 E43:E54 E56:E60 E62 E64:E66 E68:E80 E82:E84 E86:E89" showDropDown="0" showInputMessage="0" showErrorMessage="1" allowBlank="1" type="list">
      <formula1>"Retained,Removed,Modified,New,TBD,Covered,Status,Feature list"</formula1>
    </dataValidation>
  </dataValidations>
  <hyperlinks>
    <hyperlink xmlns:r="http://schemas.openxmlformats.org/officeDocument/2006/relationships" ref="A2"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7" r:id="rId5"/>
    <hyperlink xmlns:r="http://schemas.openxmlformats.org/officeDocument/2006/relationships" ref="I8" r:id="rId6"/>
    <hyperlink xmlns:r="http://schemas.openxmlformats.org/officeDocument/2006/relationships" ref="I9" r:id="rId7"/>
    <hyperlink xmlns:r="http://schemas.openxmlformats.org/officeDocument/2006/relationships" ref="I11" r:id="rId8"/>
    <hyperlink xmlns:r="http://schemas.openxmlformats.org/officeDocument/2006/relationships" ref="I14" r:id="rId9"/>
    <hyperlink xmlns:r="http://schemas.openxmlformats.org/officeDocument/2006/relationships" ref="I15" r:id="rId10"/>
    <hyperlink xmlns:r="http://schemas.openxmlformats.org/officeDocument/2006/relationships" ref="I16" r:id="rId11"/>
    <hyperlink xmlns:r="http://schemas.openxmlformats.org/officeDocument/2006/relationships" ref="I17" r:id="rId12"/>
    <hyperlink xmlns:r="http://schemas.openxmlformats.org/officeDocument/2006/relationships" ref="I18" r:id="rId13"/>
    <hyperlink xmlns:r="http://schemas.openxmlformats.org/officeDocument/2006/relationships" ref="I19" r:id="rId14"/>
    <hyperlink xmlns:r="http://schemas.openxmlformats.org/officeDocument/2006/relationships" ref="I20" r:id="rId15"/>
    <hyperlink xmlns:r="http://schemas.openxmlformats.org/officeDocument/2006/relationships" ref="I21" r:id="rId16"/>
    <hyperlink xmlns:r="http://schemas.openxmlformats.org/officeDocument/2006/relationships" ref="I22" r:id="rId17"/>
    <hyperlink xmlns:r="http://schemas.openxmlformats.org/officeDocument/2006/relationships" ref="I24" r:id="rId18"/>
    <hyperlink xmlns:r="http://schemas.openxmlformats.org/officeDocument/2006/relationships" ref="I25" r:id="rId19"/>
    <hyperlink xmlns:r="http://schemas.openxmlformats.org/officeDocument/2006/relationships" ref="I26" r:id="rId20"/>
    <hyperlink xmlns:r="http://schemas.openxmlformats.org/officeDocument/2006/relationships" ref="I27" r:id="rId21"/>
    <hyperlink xmlns:r="http://schemas.openxmlformats.org/officeDocument/2006/relationships" ref="I28" r:id="rId22"/>
    <hyperlink xmlns:r="http://schemas.openxmlformats.org/officeDocument/2006/relationships" ref="I29" r:id="rId23"/>
    <hyperlink xmlns:r="http://schemas.openxmlformats.org/officeDocument/2006/relationships" ref="I33" r:id="rId24"/>
    <hyperlink xmlns:r="http://schemas.openxmlformats.org/officeDocument/2006/relationships" ref="I34" r:id="rId25"/>
    <hyperlink xmlns:r="http://schemas.openxmlformats.org/officeDocument/2006/relationships" ref="I37" r:id="rId26"/>
    <hyperlink xmlns:r="http://schemas.openxmlformats.org/officeDocument/2006/relationships" ref="I38" r:id="rId27"/>
    <hyperlink xmlns:r="http://schemas.openxmlformats.org/officeDocument/2006/relationships" ref="I48" r:id="rId28"/>
    <hyperlink xmlns:r="http://schemas.openxmlformats.org/officeDocument/2006/relationships" ref="I49" r:id="rId29"/>
    <hyperlink xmlns:r="http://schemas.openxmlformats.org/officeDocument/2006/relationships" ref="I50" r:id="rId30"/>
    <hyperlink xmlns:r="http://schemas.openxmlformats.org/officeDocument/2006/relationships" ref="I51" r:id="rId31"/>
    <hyperlink xmlns:r="http://schemas.openxmlformats.org/officeDocument/2006/relationships" ref="I53" r:id="rId32"/>
    <hyperlink xmlns:r="http://schemas.openxmlformats.org/officeDocument/2006/relationships" ref="I56" r:id="rId33"/>
    <hyperlink xmlns:r="http://schemas.openxmlformats.org/officeDocument/2006/relationships" ref="I57" r:id="rId34"/>
    <hyperlink xmlns:r="http://schemas.openxmlformats.org/officeDocument/2006/relationships" ref="I58" r:id="rId35"/>
    <hyperlink xmlns:r="http://schemas.openxmlformats.org/officeDocument/2006/relationships" ref="I59" r:id="rId36"/>
    <hyperlink xmlns:r="http://schemas.openxmlformats.org/officeDocument/2006/relationships" ref="I60" r:id="rId37"/>
    <hyperlink xmlns:r="http://schemas.openxmlformats.org/officeDocument/2006/relationships" ref="I64" r:id="rId38"/>
    <hyperlink xmlns:r="http://schemas.openxmlformats.org/officeDocument/2006/relationships" ref="I66" r:id="rId39"/>
    <hyperlink xmlns:r="http://schemas.openxmlformats.org/officeDocument/2006/relationships" ref="I69" r:id="rId40"/>
    <hyperlink xmlns:r="http://schemas.openxmlformats.org/officeDocument/2006/relationships" ref="I70" r:id="rId41"/>
    <hyperlink xmlns:r="http://schemas.openxmlformats.org/officeDocument/2006/relationships" ref="I71" r:id="rId42"/>
    <hyperlink xmlns:r="http://schemas.openxmlformats.org/officeDocument/2006/relationships" ref="I72" r:id="rId43"/>
    <hyperlink xmlns:r="http://schemas.openxmlformats.org/officeDocument/2006/relationships" ref="I73" r:id="rId44"/>
    <hyperlink xmlns:r="http://schemas.openxmlformats.org/officeDocument/2006/relationships" ref="I74" r:id="rId45"/>
    <hyperlink xmlns:r="http://schemas.openxmlformats.org/officeDocument/2006/relationships" ref="I75" r:id="rId46"/>
    <hyperlink xmlns:r="http://schemas.openxmlformats.org/officeDocument/2006/relationships" ref="I76" r:id="rId47"/>
    <hyperlink xmlns:r="http://schemas.openxmlformats.org/officeDocument/2006/relationships" ref="I78" r:id="rId48"/>
    <hyperlink xmlns:r="http://schemas.openxmlformats.org/officeDocument/2006/relationships" ref="I82" r:id="rId49"/>
  </hyperlink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K166"/>
  <sheetViews>
    <sheetView showGridLines="0"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width="5.14" customWidth="1" style="144" min="1" max="1"/>
    <col width="27.71" customWidth="1" style="144" min="2" max="2"/>
    <col width="40.57" customWidth="1" style="144" min="3" max="3"/>
    <col width="120.57" customWidth="1" style="144" min="4" max="4"/>
    <col width="23.86" customWidth="1" style="144" min="5" max="5"/>
    <col width="18.43" customWidth="1" style="144" min="6" max="6"/>
    <col width="15.14" customWidth="1" style="144" min="7" max="7"/>
    <col width="12.14" customWidth="1" style="144" min="8" max="8"/>
    <col width="32" customWidth="1" style="144" min="9" max="9"/>
    <col width="38.86" customWidth="1" style="144" min="10" max="11"/>
  </cols>
  <sheetData>
    <row r="1" ht="13.5" customHeight="1" s="144">
      <c r="A1" s="7" t="n"/>
      <c r="B1" s="7" t="n"/>
      <c r="C1" s="7" t="n"/>
      <c r="D1" s="7" t="n"/>
      <c r="E1" s="7" t="n"/>
      <c r="F1" s="7" t="n"/>
      <c r="G1" s="7">
        <f>SUM(G3:G153)</f>
        <v/>
      </c>
      <c r="H1" s="7">
        <f>SUM(H3:H153)</f>
        <v/>
      </c>
      <c r="I1" s="7" t="n"/>
      <c r="J1" s="7" t="n"/>
      <c r="K1" s="57" t="n"/>
    </row>
    <row r="2" ht="13.5" customHeight="1" s="144">
      <c r="A2" s="27" t="inlineStr">
        <is>
          <t>SR.NO</t>
        </is>
      </c>
      <c r="B2" s="65" t="inlineStr">
        <is>
          <t>MODULE</t>
        </is>
      </c>
      <c r="C2" s="65" t="inlineStr">
        <is>
          <t>CAPABILITY</t>
        </is>
      </c>
      <c r="D2" s="65" t="inlineStr">
        <is>
          <t>USER STORY</t>
        </is>
      </c>
      <c r="E2" s="65" t="inlineStr">
        <is>
          <t>STATUS</t>
        </is>
      </c>
      <c r="F2" s="65" t="inlineStr">
        <is>
          <t>REQUIRED</t>
        </is>
      </c>
      <c r="G2" s="65" t="inlineStr">
        <is>
          <t>FRONT END</t>
        </is>
      </c>
      <c r="H2" s="65" t="inlineStr">
        <is>
          <t>BACK END</t>
        </is>
      </c>
      <c r="I2" s="65" t="inlineStr">
        <is>
          <t>DESIGN LINK</t>
        </is>
      </c>
      <c r="J2" s="65" t="inlineStr">
        <is>
          <t>COMMENT</t>
        </is>
      </c>
      <c r="K2" s="94" t="n"/>
    </row>
    <row r="3" ht="13.5" customHeight="1" s="144">
      <c r="A3" s="104" t="inlineStr">
        <is>
          <t>Provider Onboarding &amp; Login</t>
        </is>
      </c>
      <c r="B3" s="147" t="n"/>
      <c r="C3" s="106" t="n"/>
      <c r="D3" s="80" t="n"/>
      <c r="E3" s="106" t="n"/>
      <c r="F3" s="106" t="n"/>
      <c r="G3" s="106" t="n"/>
      <c r="H3" s="106" t="n"/>
      <c r="I3" s="106" t="n"/>
      <c r="J3" s="106" t="n"/>
      <c r="K3" s="94" t="n"/>
    </row>
    <row r="4" ht="13.5" customHeight="1" s="144">
      <c r="A4" s="94" t="n"/>
      <c r="B4" s="59" t="inlineStr">
        <is>
          <t>Auth</t>
        </is>
      </c>
      <c r="C4" s="59" t="inlineStr">
        <is>
          <t>Login &amp; MFA</t>
        </is>
      </c>
      <c r="D4" s="61" t="inlineStr">
        <is>
          <t>As a Provider, I should be able to sign in with my Organization ID, email and password, with an option to remember me on the same device, and enter a code from my authenticator app to complete sign-in when asked (once a week and on a new device).</t>
        </is>
      </c>
      <c r="E4" s="94" t="inlineStr">
        <is>
          <t>Retained</t>
        </is>
      </c>
      <c r="F4" s="94" t="inlineStr">
        <is>
          <t>Yes</t>
        </is>
      </c>
      <c r="G4" s="87" t="n">
        <v>2</v>
      </c>
      <c r="H4" s="94" t="n">
        <v>2</v>
      </c>
      <c r="I4" s="148" t="inlineStr">
        <is>
          <t>Prototype Link</t>
        </is>
      </c>
      <c r="J4" s="94" t="n"/>
      <c r="K4" s="94" t="n"/>
    </row>
    <row r="5" ht="13.5" customHeight="1" s="144">
      <c r="A5" s="94" t="n"/>
      <c r="B5" s="59" t="inlineStr">
        <is>
          <t>Onboarding</t>
        </is>
      </c>
      <c r="C5" s="59" t="inlineStr">
        <is>
          <t>Practice onboarding</t>
        </is>
      </c>
      <c r="D5" s="61" t="inlineStr">
        <is>
          <t>As an admin, I can onboard the practice and its physicians.</t>
        </is>
      </c>
      <c r="E5" s="94" t="inlineStr">
        <is>
          <t>Retained</t>
        </is>
      </c>
      <c r="F5" s="94" t="inlineStr">
        <is>
          <t>Yes</t>
        </is>
      </c>
      <c r="G5" s="94" t="n">
        <v>4</v>
      </c>
      <c r="H5" s="94" t="n">
        <v>6</v>
      </c>
      <c r="I5" s="148" t="inlineStr">
        <is>
          <t>Prototype Link</t>
        </is>
      </c>
      <c r="J5" s="94" t="n"/>
      <c r="K5" s="94" t="n"/>
    </row>
    <row r="6" ht="13.5" customHeight="1" s="144">
      <c r="A6" s="94" t="n"/>
      <c r="B6" s="59" t="inlineStr">
        <is>
          <t>Invitation</t>
        </is>
      </c>
      <c r="C6" s="59" t="inlineStr">
        <is>
          <t>Invitation Email</t>
        </is>
      </c>
      <c r="D6" s="61" t="inlineStr">
        <is>
          <t>As a Provider, I should receive an invitation email from my practice’s clinic manager with my role, my email, a one-time activation code and an “Activate account” button, so that I can join the provider portal.</t>
        </is>
      </c>
      <c r="E6" s="94" t="inlineStr">
        <is>
          <t>New</t>
        </is>
      </c>
      <c r="F6" s="94" t="inlineStr">
        <is>
          <t>Yes</t>
        </is>
      </c>
      <c r="G6" s="94" t="n">
        <v>2</v>
      </c>
      <c r="H6" s="94" t="n">
        <v>2</v>
      </c>
      <c r="I6" s="148" t="inlineStr">
        <is>
          <t>Prototype Link</t>
        </is>
      </c>
      <c r="J6" s="94" t="n"/>
      <c r="K6" s="94" t="n"/>
    </row>
    <row r="7" ht="13.5" customHeight="1" s="144">
      <c r="A7" s="94" t="n"/>
      <c r="B7" s="59" t="inlineStr">
        <is>
          <t>Activate Account</t>
        </is>
      </c>
      <c r="C7" s="94" t="inlineStr">
        <is>
          <t>Activate Account &amp; Set Password</t>
        </is>
      </c>
      <c r="D7" s="97" t="inlineStr">
        <is>
          <t>As a Provider, I should be able to activate my account with the code from my email and create my password.</t>
        </is>
      </c>
      <c r="E7" s="94" t="inlineStr">
        <is>
          <t>Retained</t>
        </is>
      </c>
      <c r="F7" s="94" t="inlineStr">
        <is>
          <t>Yes</t>
        </is>
      </c>
      <c r="G7" s="94" t="n">
        <v>2</v>
      </c>
      <c r="H7" s="94" t="n">
        <v>2</v>
      </c>
      <c r="I7" s="148" t="inlineStr">
        <is>
          <t>Prototype Link</t>
        </is>
      </c>
      <c r="J7" s="94" t="n"/>
      <c r="K7" s="94" t="n"/>
    </row>
    <row r="8" ht="13.5" customHeight="1" s="144">
      <c r="A8" s="94" t="n"/>
      <c r="B8" s="59" t="inlineStr">
        <is>
          <t>Activate Account</t>
        </is>
      </c>
      <c r="C8" s="94" t="inlineStr">
        <is>
          <t>Two-Factor Setup</t>
        </is>
      </c>
      <c r="D8" s="97" t="inlineStr">
        <is>
          <t>As a Provider, I should be able to set up two-factor authentication with an authenticator app so that my account is protected.</t>
        </is>
      </c>
      <c r="E8" s="94" t="inlineStr">
        <is>
          <t>New</t>
        </is>
      </c>
      <c r="F8" s="94" t="inlineStr">
        <is>
          <t>Yes</t>
        </is>
      </c>
      <c r="G8" s="94" t="n">
        <v>2</v>
      </c>
      <c r="H8" s="94" t="n">
        <v>2</v>
      </c>
      <c r="I8" s="148" t="inlineStr">
        <is>
          <t>Prototype Link</t>
        </is>
      </c>
      <c r="J8" s="94" t="n"/>
      <c r="K8" s="94" t="n"/>
    </row>
    <row r="9" ht="13.5" customHeight="1" s="144">
      <c r="A9" s="59" t="n"/>
      <c r="B9" s="59" t="inlineStr">
        <is>
          <t>Forgot Password</t>
        </is>
      </c>
      <c r="C9" s="94" t="inlineStr">
        <is>
          <t>Forgot Password &amp; Reset Code</t>
        </is>
      </c>
      <c r="D9" s="97" t="inlineStr">
        <is>
          <t>As a Provider, I should be able to request a password reset code to my email, verify it, and resend it if I didn’t receive it.</t>
        </is>
      </c>
      <c r="E9" s="94" t="inlineStr">
        <is>
          <t>New</t>
        </is>
      </c>
      <c r="F9" s="94" t="inlineStr">
        <is>
          <t>Yes</t>
        </is>
      </c>
      <c r="G9" s="94" t="n">
        <v>2</v>
      </c>
      <c r="H9" s="94" t="n">
        <v>2</v>
      </c>
      <c r="I9" s="148" t="inlineStr">
        <is>
          <t>Prototype Link</t>
        </is>
      </c>
      <c r="J9" s="94" t="n"/>
      <c r="K9" s="94" t="n"/>
    </row>
    <row r="10" ht="13.5" customHeight="1" s="144">
      <c r="A10" s="104" t="inlineStr">
        <is>
          <t>Dashboard</t>
        </is>
      </c>
      <c r="B10" s="147" t="n"/>
      <c r="C10" s="106" t="n"/>
      <c r="D10" s="80" t="n"/>
      <c r="E10" s="106" t="n"/>
      <c r="F10" s="106" t="n"/>
      <c r="G10" s="106" t="n"/>
      <c r="H10" s="106" t="n"/>
      <c r="I10" s="106" t="n"/>
      <c r="J10" s="106" t="n"/>
      <c r="K10" s="94" t="n"/>
    </row>
    <row r="11" ht="13.5" customHeight="1" s="144">
      <c r="A11" s="99" t="n"/>
      <c r="B11" s="94" t="inlineStr">
        <is>
          <t>Dashboard</t>
        </is>
      </c>
      <c r="C11" s="94" t="inlineStr">
        <is>
          <t>Enrollment &amp; activation</t>
        </is>
      </c>
      <c r="D11" s="97" t="inlineStr">
        <is>
          <t>As a practice admin, I can see patient enrollment and activation metrics.</t>
        </is>
      </c>
      <c r="E11" s="94" t="inlineStr">
        <is>
          <t>Retained</t>
        </is>
      </c>
      <c r="F11" s="94" t="inlineStr">
        <is>
          <t>Yes</t>
        </is>
      </c>
      <c r="G11" s="87" t="n">
        <v>4</v>
      </c>
      <c r="H11" s="87" t="n">
        <v>6</v>
      </c>
      <c r="I11" s="148" t="inlineStr">
        <is>
          <t>Prototype Link</t>
        </is>
      </c>
      <c r="J11" s="94" t="n"/>
      <c r="K11" s="94" t="n"/>
    </row>
    <row r="12" ht="13.5" customHeight="1" s="144">
      <c r="A12" s="99" t="n"/>
      <c r="B12" s="94" t="inlineStr">
        <is>
          <t>Dashboard</t>
        </is>
      </c>
      <c r="C12" s="94" t="inlineStr">
        <is>
          <t>Engagement metrics</t>
        </is>
      </c>
      <c r="D12" s="97" t="inlineStr">
        <is>
          <t>As a practice admin, I can see patient engagement across my panel.</t>
        </is>
      </c>
      <c r="E12" s="94" t="inlineStr">
        <is>
          <t>Removed</t>
        </is>
      </c>
      <c r="F12" s="94" t="inlineStr">
        <is>
          <t>Yes</t>
        </is>
      </c>
      <c r="G12" s="87" t="n">
        <v>2</v>
      </c>
      <c r="H12" s="87" t="n">
        <v>4</v>
      </c>
      <c r="I12" s="71" t="n"/>
      <c r="J12" s="94" t="n"/>
      <c r="K12" s="94" t="n"/>
    </row>
    <row r="13" ht="13.5" customHeight="1" s="144">
      <c r="A13" s="99" t="n"/>
      <c r="B13" s="94" t="inlineStr">
        <is>
          <t>Dashboard</t>
        </is>
      </c>
      <c r="C13" s="94" t="inlineStr">
        <is>
          <t>Outcome changes</t>
        </is>
      </c>
      <c r="D13" s="97" t="inlineStr">
        <is>
          <t>As a practice admin, I can see outcome changes over time for my patients.</t>
        </is>
      </c>
      <c r="E13" s="94" t="inlineStr">
        <is>
          <t>Removed</t>
        </is>
      </c>
      <c r="F13" s="94" t="inlineStr">
        <is>
          <t>Yes</t>
        </is>
      </c>
      <c r="G13" s="87" t="n">
        <v>4</v>
      </c>
      <c r="H13" s="87" t="n">
        <v>6</v>
      </c>
      <c r="I13" s="71" t="n"/>
      <c r="J13" s="94" t="n"/>
      <c r="K13" s="94" t="n"/>
    </row>
    <row r="14" ht="13.5" customHeight="1" s="144">
      <c r="A14" s="99" t="n"/>
      <c r="B14" s="94" t="inlineStr">
        <is>
          <t>Dashboard</t>
        </is>
      </c>
      <c r="C14" s="94" t="inlineStr">
        <is>
          <t>Alert volume</t>
        </is>
      </c>
      <c r="D14" s="97" t="inlineStr">
        <is>
          <t>As a Provider, I should see one list of items waiting on me and act on each one directly (review, open or reply).</t>
        </is>
      </c>
      <c r="E14" s="94" t="inlineStr">
        <is>
          <t>Modified</t>
        </is>
      </c>
      <c r="F14" s="94" t="inlineStr">
        <is>
          <t>Yes</t>
        </is>
      </c>
      <c r="G14" s="87" t="n">
        <v>2</v>
      </c>
      <c r="H14" s="87" t="n">
        <v>4</v>
      </c>
      <c r="I14" s="148" t="inlineStr">
        <is>
          <t>Prototype Link</t>
        </is>
      </c>
      <c r="J14" s="94" t="n"/>
      <c r="K14" s="94" t="n"/>
    </row>
    <row r="15" ht="13.5" customHeight="1" s="144">
      <c r="A15" s="72" t="n"/>
      <c r="B15" s="59" t="inlineStr">
        <is>
          <t>Dashboard</t>
        </is>
      </c>
      <c r="C15" s="94" t="inlineStr">
        <is>
          <t>Physician review time</t>
        </is>
      </c>
      <c r="D15" s="97" t="inlineStr">
        <is>
          <t>As a practice admin, I can see average physician review time per report.</t>
        </is>
      </c>
      <c r="E15" s="94" t="inlineStr">
        <is>
          <t>Removed</t>
        </is>
      </c>
      <c r="F15" s="94" t="inlineStr">
        <is>
          <t>Yes</t>
        </is>
      </c>
      <c r="G15" s="87" t="n">
        <v>2</v>
      </c>
      <c r="H15" s="87" t="n">
        <v>4</v>
      </c>
      <c r="I15" s="71" t="n"/>
      <c r="J15" s="94" t="n"/>
      <c r="K15" s="94" t="n"/>
    </row>
    <row r="16" ht="13.5" customHeight="1" s="144">
      <c r="A16" s="72" t="n"/>
      <c r="B16" s="59" t="inlineStr">
        <is>
          <t>Dashboard</t>
        </is>
      </c>
      <c r="C16" s="94" t="inlineStr">
        <is>
          <t>Value &amp; renewal metrics</t>
        </is>
      </c>
      <c r="D16" s="97" t="inlineStr">
        <is>
          <t>As a practice admin, I can see value and renewal-supporting metrics.</t>
        </is>
      </c>
      <c r="E16" s="94" t="inlineStr">
        <is>
          <t>Removed</t>
        </is>
      </c>
      <c r="F16" s="94" t="inlineStr">
        <is>
          <t>Yes</t>
        </is>
      </c>
      <c r="G16" s="87" t="n">
        <v>2</v>
      </c>
      <c r="H16" s="87" t="n">
        <v>4</v>
      </c>
      <c r="I16" s="71" t="n"/>
      <c r="J16" s="94" t="n"/>
      <c r="K16" s="94" t="n"/>
    </row>
    <row r="17" ht="13.5" customHeight="1" s="144">
      <c r="A17" s="72" t="n"/>
      <c r="B17" s="59" t="inlineStr">
        <is>
          <t>Dashboard</t>
        </is>
      </c>
      <c r="C17" s="94" t="inlineStr">
        <is>
          <t>My Tasks</t>
        </is>
      </c>
      <c r="D17" s="97" t="inlineStr">
        <is>
          <t>As a Provider, I want to view my open tasks, upcoming appointments, messages, and urgent tasks on my dashboard.</t>
        </is>
      </c>
      <c r="E17" s="94" t="inlineStr">
        <is>
          <t>New</t>
        </is>
      </c>
      <c r="F17" s="94" t="inlineStr">
        <is>
          <t>Yes</t>
        </is>
      </c>
      <c r="G17" s="87" t="n">
        <v>2</v>
      </c>
      <c r="H17" s="87" t="n">
        <v>2</v>
      </c>
      <c r="I17" s="148" t="inlineStr">
        <is>
          <t>Prototype Link</t>
        </is>
      </c>
      <c r="J17" s="94" t="n"/>
      <c r="K17" s="94" t="n"/>
    </row>
    <row r="18" ht="13.5" customHeight="1" s="144">
      <c r="A18" s="72" t="n"/>
      <c r="B18" s="59" t="inlineStr">
        <is>
          <t>Dashboard</t>
        </is>
      </c>
      <c r="C18" s="94" t="inlineStr">
        <is>
          <t>Today’s Schedule</t>
        </is>
      </c>
      <c r="D18" s="97" t="inlineStr">
        <is>
          <t>As a Provider, I should see today’s visits with time, patient, visit type and status, and the patient in the room now, with options to open their details or chart.</t>
        </is>
      </c>
      <c r="E18" s="94" t="inlineStr">
        <is>
          <t>New</t>
        </is>
      </c>
      <c r="F18" s="94" t="inlineStr">
        <is>
          <t>Yes</t>
        </is>
      </c>
      <c r="G18" s="87" t="n">
        <v>2</v>
      </c>
      <c r="H18" s="87" t="n">
        <v>2</v>
      </c>
      <c r="I18" s="148" t="inlineStr">
        <is>
          <t>Prototype Link</t>
        </is>
      </c>
      <c r="J18" s="94" t="n"/>
      <c r="K18" s="94" t="n"/>
    </row>
    <row r="19" ht="13.5" customHeight="1" s="144">
      <c r="A19" s="72" t="n"/>
      <c r="B19" s="59" t="inlineStr">
        <is>
          <t>Worklist</t>
        </is>
      </c>
      <c r="C19" s="94" t="inlineStr">
        <is>
          <t>Abnormal Results</t>
        </is>
      </c>
      <c r="D19" s="97" t="inlineStr">
        <is>
          <t>As a Provider, I should see each abnormal result’s priority, test, result, source (with an “Outside” tag) and resulted date, and mark it as reviewed.</t>
        </is>
      </c>
      <c r="E19" s="94" t="inlineStr">
        <is>
          <t>New</t>
        </is>
      </c>
      <c r="F19" s="94" t="inlineStr">
        <is>
          <t>Yes</t>
        </is>
      </c>
      <c r="G19" s="87" t="n">
        <v>2</v>
      </c>
      <c r="H19" s="87" t="n">
        <v>2</v>
      </c>
      <c r="I19" s="148" t="inlineStr">
        <is>
          <t>Prototype Link</t>
        </is>
      </c>
      <c r="J19" s="94" t="n"/>
      <c r="K19" s="94" t="n"/>
    </row>
    <row r="20" ht="13.5" customHeight="1" s="144">
      <c r="A20" s="104" t="inlineStr">
        <is>
          <t>Patients</t>
        </is>
      </c>
      <c r="B20" s="147" t="n"/>
      <c r="C20" s="106" t="n"/>
      <c r="D20" s="80" t="n"/>
      <c r="E20" s="106" t="n"/>
      <c r="F20" s="106" t="n"/>
      <c r="G20" s="106" t="n"/>
      <c r="H20" s="106" t="n"/>
      <c r="I20" s="106" t="n"/>
      <c r="J20" s="106" t="n"/>
      <c r="K20" s="94" t="n"/>
    </row>
    <row r="21" ht="13.5" customHeight="1" s="144">
      <c r="A21" s="99" t="n"/>
      <c r="B21" s="94" t="inlineStr">
        <is>
          <t>Patient</t>
        </is>
      </c>
      <c r="C21" s="94" t="inlineStr">
        <is>
          <t>Patient list</t>
        </is>
      </c>
      <c r="D21" s="97" t="inlineStr">
        <is>
          <t>As a Provider, I should see my practice’s patients with risk level, ID, name, age and bio age, contact, location, primary provider, status, last interaction and last sync, and open a patient’s dashboard from the list.</t>
        </is>
      </c>
      <c r="E21" s="94" t="inlineStr">
        <is>
          <t>Modified</t>
        </is>
      </c>
      <c r="F21" s="94" t="inlineStr">
        <is>
          <t>Yes</t>
        </is>
      </c>
      <c r="G21" s="87" t="n">
        <v>4</v>
      </c>
      <c r="H21" s="87" t="n">
        <v>6</v>
      </c>
      <c r="I21" s="148" t="inlineStr">
        <is>
          <t>Prototype Link</t>
        </is>
      </c>
      <c r="J21" s="94" t="n"/>
      <c r="K21" s="94" t="n"/>
    </row>
    <row r="22" ht="13.5" customHeight="1" s="144">
      <c r="A22" s="99" t="n"/>
      <c r="B22" s="94" t="inlineStr">
        <is>
          <t>Priority queue</t>
        </is>
      </c>
      <c r="C22" s="94" t="inlineStr">
        <is>
          <t>Sorted work queue</t>
        </is>
      </c>
      <c r="D22" s="97" t="inlineStr">
        <is>
          <t>As a physician, I can see critical/high/watch/stable sorted by severity &amp; change.</t>
        </is>
      </c>
      <c r="E22" s="94" t="inlineStr">
        <is>
          <t>Retained</t>
        </is>
      </c>
      <c r="F22" s="94" t="inlineStr">
        <is>
          <t>Must Have</t>
        </is>
      </c>
      <c r="G22" s="87" t="n">
        <v>4</v>
      </c>
      <c r="H22" s="87" t="n">
        <v>6</v>
      </c>
      <c r="I22" s="148" t="inlineStr">
        <is>
          <t>Prototype Link</t>
        </is>
      </c>
      <c r="J22" s="87" t="n"/>
      <c r="K22" s="87" t="n"/>
    </row>
    <row r="23" ht="13.5" customHeight="1" s="144">
      <c r="A23" s="99" t="n"/>
      <c r="B23" s="94" t="inlineStr">
        <is>
          <t>Priority queue</t>
        </is>
      </c>
      <c r="C23" s="94" t="inlineStr">
        <is>
          <t>Filter &amp; triage</t>
        </is>
      </c>
      <c r="D23" s="97" t="inlineStr">
        <is>
          <t>As a physician, I can filter and triage the queue.</t>
        </is>
      </c>
      <c r="E23" s="94" t="inlineStr">
        <is>
          <t>Retained</t>
        </is>
      </c>
      <c r="F23" s="94" t="inlineStr">
        <is>
          <t>Must Have</t>
        </is>
      </c>
      <c r="G23" s="87" t="n">
        <v>2</v>
      </c>
      <c r="H23" s="87" t="n">
        <v>4</v>
      </c>
      <c r="I23" s="150" t="inlineStr">
        <is>
          <t>Prototype Link</t>
        </is>
      </c>
      <c r="J23" s="87" t="n"/>
      <c r="K23" s="87" t="n"/>
    </row>
    <row r="24" ht="13.5" customHeight="1" s="144">
      <c r="A24" s="99" t="n"/>
      <c r="B24" s="94" t="inlineStr">
        <is>
          <t>Add Patient</t>
        </is>
      </c>
      <c r="C24" s="94" t="inlineStr">
        <is>
          <t>Add Patient Form</t>
        </is>
      </c>
      <c r="D24" s="97" t="inlineStr">
        <is>
          <t>As a Provider, I should be able to enter the patient’s basic details, additional details and emergency contact.</t>
        </is>
      </c>
      <c r="E24" s="94" t="inlineStr">
        <is>
          <t>New</t>
        </is>
      </c>
      <c r="F24" s="94" t="inlineStr">
        <is>
          <t>Yes</t>
        </is>
      </c>
      <c r="G24" s="87" t="n">
        <v>4</v>
      </c>
      <c r="H24" s="87" t="n">
        <v>2</v>
      </c>
      <c r="I24" s="148" t="inlineStr">
        <is>
          <t>Prototype Link</t>
        </is>
      </c>
      <c r="J24" s="94" t="n"/>
      <c r="K24" s="94" t="n"/>
    </row>
    <row r="25" ht="13.5" customHeight="1" s="144">
      <c r="A25" s="99" t="n"/>
      <c r="B25" s="94" t="inlineStr">
        <is>
          <t>Patient</t>
        </is>
      </c>
      <c r="C25" s="94" t="inlineStr">
        <is>
          <t>Enroll &amp; assign</t>
        </is>
      </c>
      <c r="D25" s="97" t="inlineStr">
        <is>
          <t>As a Provider, I should be able to start adding a patient with their key details and assign the patient’s location and primary provider.</t>
        </is>
      </c>
      <c r="E25" s="94" t="inlineStr">
        <is>
          <t>Retained</t>
        </is>
      </c>
      <c r="F25" s="94" t="inlineStr">
        <is>
          <t>Yes</t>
        </is>
      </c>
      <c r="G25" s="87" t="n">
        <v>4</v>
      </c>
      <c r="H25" s="87" t="n">
        <v>6</v>
      </c>
      <c r="I25" s="148" t="inlineStr">
        <is>
          <t>Prototype Link</t>
        </is>
      </c>
      <c r="J25" s="94" t="n"/>
      <c r="K25" s="94" t="n"/>
    </row>
    <row r="26" ht="13.5" customHeight="1" s="144">
      <c r="A26" s="72" t="n"/>
      <c r="B26" s="59" t="inlineStr">
        <is>
          <t>Add Patient</t>
        </is>
      </c>
      <c r="C26" s="94" t="inlineStr">
        <is>
          <t>Duplicate Patient Check</t>
        </is>
      </c>
      <c r="D26" s="97" t="inlineStr">
        <is>
          <t>As a Provider, I should be told if the patient I’m adding already exists, so that no duplicate record or second invite is created.</t>
        </is>
      </c>
      <c r="E26" s="94" t="inlineStr">
        <is>
          <t>New</t>
        </is>
      </c>
      <c r="F26" s="94" t="inlineStr">
        <is>
          <t>Yes</t>
        </is>
      </c>
      <c r="G26" s="87" t="n">
        <v>2</v>
      </c>
      <c r="H26" s="87" t="n">
        <v>2</v>
      </c>
      <c r="I26" s="148" t="inlineStr">
        <is>
          <t>Prototype Link</t>
        </is>
      </c>
      <c r="J26" s="94" t="n"/>
      <c r="K26" s="94" t="n"/>
    </row>
    <row r="27" ht="13.5" customHeight="1" s="144">
      <c r="A27" s="72" t="n"/>
      <c r="B27" s="59" t="inlineStr">
        <is>
          <t>Edit Patient</t>
        </is>
      </c>
      <c r="C27" s="94" t="inlineStr">
        <is>
          <t>Edit Patient</t>
        </is>
      </c>
      <c r="D27" s="97" t="inlineStr">
        <is>
          <t>As a Provider, I should be able to edit a patient’s details, profile picture, care team and emergency contacts (email is read-only).</t>
        </is>
      </c>
      <c r="E27" s="94" t="inlineStr">
        <is>
          <t>New</t>
        </is>
      </c>
      <c r="F27" s="94" t="inlineStr">
        <is>
          <t>Yes</t>
        </is>
      </c>
      <c r="G27" s="87" t="n">
        <v>2</v>
      </c>
      <c r="H27" s="87" t="n">
        <v>2</v>
      </c>
      <c r="I27" s="148" t="inlineStr">
        <is>
          <t>Prototype Link</t>
        </is>
      </c>
      <c r="J27" s="94" t="n"/>
      <c r="K27" s="94" t="n"/>
    </row>
    <row r="28" ht="13.5" customHeight="1" s="144">
      <c r="A28" s="99" t="n"/>
      <c r="B28" s="94" t="inlineStr">
        <is>
          <t>Bulk Add Patients</t>
        </is>
      </c>
      <c r="C28" s="94" t="inlineStr">
        <is>
          <t>Template &amp; Upload</t>
        </is>
      </c>
      <c r="D28" s="97" t="inlineStr">
        <is>
          <t>As a Provider, I should be able to download a CSV template and upload a filled file to add patients in bulk.</t>
        </is>
      </c>
      <c r="E28" s="94" t="inlineStr">
        <is>
          <t>New</t>
        </is>
      </c>
      <c r="F28" s="94" t="inlineStr">
        <is>
          <t>Yes</t>
        </is>
      </c>
      <c r="G28" s="94" t="n">
        <v>2</v>
      </c>
      <c r="H28" s="94" t="n">
        <v>2</v>
      </c>
      <c r="I28" s="148" t="inlineStr">
        <is>
          <t>Prototype Link</t>
        </is>
      </c>
      <c r="J28" s="94" t="n"/>
      <c r="K28" s="94" t="n"/>
    </row>
    <row r="29" ht="13.5" customHeight="1" s="144">
      <c r="A29" s="94" t="n"/>
      <c r="B29" s="94" t="inlineStr">
        <is>
          <t>Bulk Add Patients</t>
        </is>
      </c>
      <c r="C29" s="94" t="inlineStr">
        <is>
          <t xml:space="preserve">Add bulk patient </t>
        </is>
      </c>
      <c r="D29" s="97" t="inlineStr">
        <is>
          <t>As a Provider, I should be able to review the uploaded rows by status (new, already on file, to reactivate, needs review, errors) and import them, with the new patients added as “Invited”.</t>
        </is>
      </c>
      <c r="E29" s="94" t="inlineStr">
        <is>
          <t>New</t>
        </is>
      </c>
      <c r="F29" s="94" t="inlineStr">
        <is>
          <t>Yes</t>
        </is>
      </c>
      <c r="G29" s="94" t="n">
        <v>4</v>
      </c>
      <c r="H29" s="94" t="n">
        <v>2</v>
      </c>
      <c r="I29" s="148" t="inlineStr">
        <is>
          <t>Prototype Link</t>
        </is>
      </c>
      <c r="J29" s="94" t="n"/>
      <c r="K29" s="94" t="n"/>
    </row>
    <row r="30" ht="13.5" customHeight="1" s="144">
      <c r="A30" s="59" t="n"/>
      <c r="B30" s="59" t="inlineStr">
        <is>
          <t>Patient</t>
        </is>
      </c>
      <c r="C30" s="94" t="inlineStr">
        <is>
          <t>Refer &amp; invite patient</t>
        </is>
      </c>
      <c r="D30" s="97" t="inlineStr">
        <is>
          <t>As a Provider, I should be able to save the new patient so that an invitation is sent and they appear as “Invited”.</t>
        </is>
      </c>
      <c r="E30" s="94" t="inlineStr">
        <is>
          <t>Retained</t>
        </is>
      </c>
      <c r="F30" s="94" t="inlineStr">
        <is>
          <t>Yes</t>
        </is>
      </c>
      <c r="G30" s="87" t="n">
        <v>2</v>
      </c>
      <c r="H30" s="87" t="n">
        <v>4</v>
      </c>
      <c r="I30" s="148" t="inlineStr">
        <is>
          <t>Prototype Link</t>
        </is>
      </c>
      <c r="J30" s="94" t="n"/>
      <c r="K30" s="94" t="n"/>
    </row>
    <row r="31" ht="13.5" customHeight="1" s="144">
      <c r="A31" s="94" t="n"/>
      <c r="B31" s="94" t="inlineStr">
        <is>
          <t>Patient</t>
        </is>
      </c>
      <c r="C31" s="94" t="inlineStr">
        <is>
          <t>Patient’s HOL summary</t>
        </is>
      </c>
      <c r="D31" s="97" t="inlineStr">
        <is>
          <t>As a physician, I can receive the patient’s HOL summary directly in my existing medical records system, so I don’t have to log into a separate portal to see it</t>
        </is>
      </c>
      <c r="E31" s="94" t="inlineStr">
        <is>
          <t>Removed</t>
        </is>
      </c>
      <c r="F31" s="94" t="inlineStr">
        <is>
          <t>Yes</t>
        </is>
      </c>
      <c r="G31" s="87" t="n">
        <v>4</v>
      </c>
      <c r="H31" s="87" t="n">
        <v>6</v>
      </c>
      <c r="I31" s="94" t="n"/>
      <c r="J31" s="94" t="n"/>
      <c r="K31" s="94" t="n"/>
    </row>
    <row r="32" ht="13.5" customHeight="1" s="144">
      <c r="A32" s="59" t="n"/>
      <c r="B32" s="59" t="inlineStr">
        <is>
          <t>Patients</t>
        </is>
      </c>
      <c r="C32" s="94" t="inlineStr">
        <is>
          <t>Tabs, Search, Filters &amp; Pagination</t>
        </is>
      </c>
      <c r="D32" s="97" t="inlineStr">
        <is>
          <t>As a Provider, I should be able to view patients by status tab, search the list, filter it (including by sync failed) and page through it.</t>
        </is>
      </c>
      <c r="E32" s="94" t="inlineStr">
        <is>
          <t>New</t>
        </is>
      </c>
      <c r="F32" s="94" t="inlineStr">
        <is>
          <t>Yes</t>
        </is>
      </c>
      <c r="G32" s="94" t="n">
        <v>2</v>
      </c>
      <c r="H32" s="94" t="n">
        <v>2</v>
      </c>
      <c r="I32" s="148" t="inlineStr">
        <is>
          <t>Prototype Link</t>
        </is>
      </c>
      <c r="J32" s="94" t="n"/>
      <c r="K32" s="94" t="n"/>
    </row>
    <row r="33" ht="13.5" customHeight="1" s="144">
      <c r="A33" s="94" t="n"/>
      <c r="B33" s="94" t="inlineStr">
        <is>
          <t>Patients</t>
        </is>
      </c>
      <c r="C33" s="94" t="inlineStr">
        <is>
          <t>Select &amp; Export</t>
        </is>
      </c>
      <c r="D33" s="97" t="inlineStr">
        <is>
          <t>As a Provider, I should be able to select patients and export the patient list to Excel.</t>
        </is>
      </c>
      <c r="E33" s="94" t="inlineStr">
        <is>
          <t>New</t>
        </is>
      </c>
      <c r="F33" s="94" t="inlineStr">
        <is>
          <t>Yes</t>
        </is>
      </c>
      <c r="G33" s="94" t="n">
        <v>2</v>
      </c>
      <c r="H33" s="94" t="n">
        <v>2</v>
      </c>
      <c r="I33" s="148" t="inlineStr">
        <is>
          <t>Prototype Link</t>
        </is>
      </c>
      <c r="J33" s="94" t="n"/>
      <c r="K33" s="94" t="n"/>
    </row>
    <row r="34" ht="13.5" customHeight="1" s="144">
      <c r="A34" s="104" t="inlineStr">
        <is>
          <t>Task</t>
        </is>
      </c>
      <c r="B34" s="147" t="n"/>
      <c r="C34" s="106" t="n"/>
      <c r="D34" s="80" t="n"/>
      <c r="E34" s="106" t="n"/>
      <c r="F34" s="106" t="n"/>
      <c r="G34" s="106" t="n"/>
      <c r="H34" s="106" t="n"/>
      <c r="I34" s="106" t="n"/>
      <c r="J34" s="106" t="n"/>
      <c r="K34" s="94" t="n"/>
    </row>
    <row r="35" ht="13.5" customHeight="1" s="144">
      <c r="A35" s="94" t="n"/>
      <c r="B35" s="94" t="inlineStr">
        <is>
          <t>Tasks</t>
        </is>
      </c>
      <c r="C35" s="94" t="inlineStr">
        <is>
          <t>Task List</t>
        </is>
      </c>
      <c r="D35" s="97" t="inlineStr">
        <is>
          <t>As a Provider, I should see tasks with their priority, ID, type, patient, assignee, title, status and due date, with overdue tasks highlighted, and open a task’s details.</t>
        </is>
      </c>
      <c r="E35" s="94" t="inlineStr">
        <is>
          <t>New</t>
        </is>
      </c>
      <c r="F35" s="94" t="inlineStr">
        <is>
          <t>Must Have</t>
        </is>
      </c>
      <c r="G35" s="94" t="n">
        <v>2</v>
      </c>
      <c r="H35" s="94" t="n">
        <v>2</v>
      </c>
      <c r="I35" s="148" t="inlineStr">
        <is>
          <t>Prototype Link</t>
        </is>
      </c>
      <c r="J35" s="94" t="n"/>
      <c r="K35" s="94" t="n"/>
    </row>
    <row r="36" ht="13.5" customHeight="1" s="144">
      <c r="A36" s="94" t="n"/>
      <c r="B36" s="94" t="inlineStr">
        <is>
          <t>Tasks</t>
        </is>
      </c>
      <c r="C36" s="94" t="inlineStr">
        <is>
          <t xml:space="preserve">Tabs, Search, Filter </t>
        </is>
      </c>
      <c r="D36" s="97" t="inlineStr">
        <is>
          <t>As a Provider, I should be able to switch between All tasks and My tasks, search and filter the list, and page through it.</t>
        </is>
      </c>
      <c r="E36" s="94" t="inlineStr">
        <is>
          <t>New</t>
        </is>
      </c>
      <c r="F36" s="94" t="inlineStr">
        <is>
          <t>Must Have</t>
        </is>
      </c>
      <c r="G36" s="94" t="n">
        <v>2</v>
      </c>
      <c r="H36" s="94" t="n">
        <v>2</v>
      </c>
      <c r="I36" s="148" t="inlineStr">
        <is>
          <t>Prototype Link</t>
        </is>
      </c>
      <c r="J36" s="94" t="n"/>
      <c r="K36" s="94" t="n"/>
    </row>
    <row r="37" ht="13.5" customHeight="1" s="144">
      <c r="A37" s="94" t="n"/>
      <c r="B37" s="94" t="inlineStr">
        <is>
          <t>Tasks</t>
        </is>
      </c>
      <c r="C37" s="94" t="inlineStr">
        <is>
          <t>Select Tasks</t>
        </is>
      </c>
      <c r="D37" s="97" t="inlineStr">
        <is>
          <t>As a Provider, I should be able to select one, several or all tasks, see how many are selected, and clear my selection.</t>
        </is>
      </c>
      <c r="E37" s="94" t="inlineStr">
        <is>
          <t>New</t>
        </is>
      </c>
      <c r="F37" s="94" t="inlineStr">
        <is>
          <t>Must Have</t>
        </is>
      </c>
      <c r="G37" s="94" t="n">
        <v>2</v>
      </c>
      <c r="H37" s="94" t="n">
        <v>2</v>
      </c>
      <c r="I37" s="148" t="inlineStr">
        <is>
          <t>Prototype Link</t>
        </is>
      </c>
      <c r="J37" s="94" t="n"/>
      <c r="K37" s="94" t="n"/>
    </row>
    <row r="38" ht="13.5" customHeight="1" s="144">
      <c r="A38" s="94" t="n"/>
      <c r="B38" s="94" t="inlineStr">
        <is>
          <t>Tasks</t>
        </is>
      </c>
      <c r="C38" s="94" t="inlineStr">
        <is>
          <t>Bulk Mark Complete</t>
        </is>
      </c>
      <c r="D38" s="97" t="inlineStr">
        <is>
          <t>As a Provider, I should be able to mark the selected tasks complete in one action.</t>
        </is>
      </c>
      <c r="E38" s="94" t="inlineStr">
        <is>
          <t>New</t>
        </is>
      </c>
      <c r="F38" s="94" t="inlineStr">
        <is>
          <t>Must Have</t>
        </is>
      </c>
      <c r="G38" s="94" t="n">
        <v>2</v>
      </c>
      <c r="H38" s="94" t="n">
        <v>2</v>
      </c>
      <c r="I38" s="148" t="inlineStr">
        <is>
          <t>Prototype Link</t>
        </is>
      </c>
      <c r="J38" s="94" t="n"/>
      <c r="K38" s="94" t="n"/>
    </row>
    <row r="39" ht="13.5" customHeight="1" s="144">
      <c r="A39" s="59" t="n"/>
      <c r="B39" s="59" t="inlineStr">
        <is>
          <t>Add Task</t>
        </is>
      </c>
      <c r="C39" s="94" t="inlineStr">
        <is>
          <t>Add Task</t>
        </is>
      </c>
      <c r="D39" s="97" t="inlineStr">
        <is>
          <t>As a Provider, I should be able to add a task with its type, priority, assignee, due date and time, and title, optionally linked to a patient with a description, and see a confirmation once it’s added.</t>
        </is>
      </c>
      <c r="E39" s="94" t="inlineStr">
        <is>
          <t>New</t>
        </is>
      </c>
      <c r="F39" s="94" t="inlineStr">
        <is>
          <t>Must Have</t>
        </is>
      </c>
      <c r="G39" s="94" t="n">
        <v>2</v>
      </c>
      <c r="H39" s="94" t="n">
        <v>2</v>
      </c>
      <c r="I39" s="148" t="inlineStr">
        <is>
          <t>Prototype Link</t>
        </is>
      </c>
      <c r="J39" s="94" t="n"/>
      <c r="K39" s="94" t="n"/>
    </row>
    <row r="40" ht="13.5" customHeight="1" s="144">
      <c r="A40" s="104" t="inlineStr">
        <is>
          <t xml:space="preserve">Scheduling </t>
        </is>
      </c>
      <c r="B40" s="147" t="n"/>
      <c r="C40" s="106" t="n"/>
      <c r="D40" s="80" t="n"/>
      <c r="E40" s="106" t="n"/>
      <c r="F40" s="106" t="n"/>
      <c r="G40" s="106" t="n"/>
      <c r="H40" s="106" t="n"/>
      <c r="I40" s="94" t="n"/>
      <c r="J40" s="94" t="n"/>
      <c r="K40" s="94" t="n"/>
    </row>
    <row r="41" ht="13.5" customHeight="1" s="144">
      <c r="A41" s="59" t="n"/>
      <c r="B41" s="59" t="inlineStr">
        <is>
          <t>Scheduling</t>
        </is>
      </c>
      <c r="C41" s="94" t="inlineStr">
        <is>
          <t>Appointments view</t>
        </is>
      </c>
      <c r="D41" s="97" t="inlineStr">
        <is>
          <t>As a physician, I can view appointments pulled from the EHR by day, week or month, as a calendar or a list, move between dates (Today, previous, next) and see the appointment count, with filters (type, status, in-person/virtual); view only.</t>
        </is>
      </c>
      <c r="E41" s="94" t="inlineStr">
        <is>
          <t>Modified</t>
        </is>
      </c>
      <c r="F41" s="94" t="inlineStr">
        <is>
          <t>Must Have</t>
        </is>
      </c>
      <c r="G41" s="94" t="n">
        <v>2</v>
      </c>
      <c r="H41" s="94" t="n">
        <v>2</v>
      </c>
      <c r="I41" s="148" t="inlineStr">
        <is>
          <t>Prototype Link</t>
        </is>
      </c>
      <c r="J41" s="94" t="n"/>
      <c r="K41" s="94" t="n"/>
    </row>
    <row r="42" ht="13.5" customHeight="1" s="144">
      <c r="A42" s="59" t="n"/>
      <c r="B42" s="59" t="inlineStr">
        <is>
          <t>Scheduling</t>
        </is>
      </c>
      <c r="C42" s="94" t="inlineStr">
        <is>
          <t>Appointments – Calendar View</t>
        </is>
      </c>
      <c r="D42" s="97" t="inlineStr">
        <is>
          <t>As a physician, I can view appointments pulled from the EHR on a calendar by day, week or month, move between dates (Today, previous, next) and see the appointment count; view only.</t>
        </is>
      </c>
      <c r="E42" s="94" t="inlineStr">
        <is>
          <t>New</t>
        </is>
      </c>
      <c r="F42" s="94" t="inlineStr">
        <is>
          <t>Must Have</t>
        </is>
      </c>
      <c r="G42" s="94" t="n">
        <v>4</v>
      </c>
      <c r="H42" s="94" t="n">
        <v>2</v>
      </c>
      <c r="I42" s="148" t="inlineStr">
        <is>
          <t>Prototype Link</t>
        </is>
      </c>
      <c r="J42" s="94" t="n"/>
      <c r="K42" s="94" t="n"/>
    </row>
    <row r="43" ht="13.5" customHeight="1" s="144">
      <c r="A43" s="59" t="n"/>
      <c r="B43" s="59" t="inlineStr">
        <is>
          <t>Scheduling</t>
        </is>
      </c>
      <c r="C43" s="94" t="inlineStr">
        <is>
          <t>Appointments – List View</t>
        </is>
      </c>
      <c r="D43" s="97" t="inlineStr">
        <is>
          <t>As a physician, I can view appointments as a list by day, week or month, with each appointment’s patient, type, in-person or virtual, reason and status, and page through them; view only.</t>
        </is>
      </c>
      <c r="E43" s="94" t="inlineStr">
        <is>
          <t>New</t>
        </is>
      </c>
      <c r="F43" s="94" t="inlineStr">
        <is>
          <t>Must Have</t>
        </is>
      </c>
      <c r="G43" s="94" t="n">
        <v>2</v>
      </c>
      <c r="H43" s="94" t="n">
        <v>2</v>
      </c>
      <c r="I43" s="148" t="inlineStr">
        <is>
          <t>Prototype Link</t>
        </is>
      </c>
      <c r="J43" s="94" t="n"/>
      <c r="K43" s="94" t="n"/>
    </row>
    <row r="44" ht="13.5" customHeight="1" s="144">
      <c r="A44" s="59" t="n"/>
      <c r="B44" s="59" t="inlineStr">
        <is>
          <t>Scheduling</t>
        </is>
      </c>
      <c r="C44" s="94" t="inlineStr">
        <is>
          <t>Appointment Details &amp; Filters</t>
        </is>
      </c>
      <c r="D44" s="97" t="inlineStr">
        <is>
          <t>As a physician, I can filter appointments by status, type and in-person or virtual, and open an appointment to see its details and the patient’s contact, then open their chart.</t>
        </is>
      </c>
      <c r="E44" s="94" t="inlineStr">
        <is>
          <t>New</t>
        </is>
      </c>
      <c r="F44" s="94" t="inlineStr">
        <is>
          <t>Must Have</t>
        </is>
      </c>
      <c r="G44" s="94" t="n">
        <v>2</v>
      </c>
      <c r="H44" s="94" t="n">
        <v>2</v>
      </c>
      <c r="I44" s="148" t="inlineStr">
        <is>
          <t>Prototype Link</t>
        </is>
      </c>
      <c r="J44" s="94" t="n"/>
      <c r="K44" s="94" t="n"/>
    </row>
    <row r="45" ht="13.5" customHeight="1" s="144">
      <c r="A45" s="104" t="inlineStr">
        <is>
          <t>Communication</t>
        </is>
      </c>
      <c r="B45" s="147" t="n"/>
      <c r="C45" s="106" t="n"/>
      <c r="D45" s="80" t="n"/>
      <c r="E45" s="106" t="n"/>
      <c r="F45" s="106" t="n"/>
      <c r="G45" s="106" t="n"/>
      <c r="H45" s="106" t="n"/>
      <c r="I45" s="94" t="n"/>
      <c r="J45" s="94" t="n"/>
      <c r="K45" s="94" t="n"/>
    </row>
    <row r="46" ht="13.5" customHeight="1" s="144">
      <c r="A46" s="94" t="n"/>
      <c r="B46" s="94" t="inlineStr">
        <is>
          <t>Communication</t>
        </is>
      </c>
      <c r="C46" s="94" t="inlineStr">
        <is>
          <t>Conversation List</t>
        </is>
      </c>
      <c r="D46" s="97" t="inlineStr">
        <is>
          <t>As a Provider, I should see my conversations with the other provider’s name, last message preview, time and unread count, with the most recent at the top.</t>
        </is>
      </c>
      <c r="E46" s="94" t="inlineStr">
        <is>
          <t>New</t>
        </is>
      </c>
      <c r="F46" s="94" t="inlineStr">
        <is>
          <t>Must Have</t>
        </is>
      </c>
      <c r="G46" s="94" t="n">
        <v>2</v>
      </c>
      <c r="H46" s="94" t="n">
        <v>2</v>
      </c>
      <c r="I46" s="148" t="inlineStr">
        <is>
          <t>Prototype Link</t>
        </is>
      </c>
      <c r="J46" s="94" t="n"/>
      <c r="K46" s="94" t="n"/>
    </row>
    <row r="47" ht="13.5" customHeight="1" s="144">
      <c r="A47" s="94" t="n"/>
      <c r="B47" s="94" t="inlineStr">
        <is>
          <t>Communication</t>
        </is>
      </c>
      <c r="C47" s="94" t="inlineStr">
        <is>
          <t>Search &amp; Filter Conversations</t>
        </is>
      </c>
      <c r="D47" s="97" t="inlineStr">
        <is>
          <t>As a Provider, I should be able to search my conversations and filter them by All or Unread.</t>
        </is>
      </c>
      <c r="E47" s="94" t="inlineStr">
        <is>
          <t>New</t>
        </is>
      </c>
      <c r="F47" s="94" t="inlineStr">
        <is>
          <t>Must Have</t>
        </is>
      </c>
      <c r="G47" s="94" t="n">
        <v>2</v>
      </c>
      <c r="H47" s="94" t="n">
        <v>2</v>
      </c>
      <c r="I47" s="148" t="inlineStr">
        <is>
          <t>Prototype Link</t>
        </is>
      </c>
      <c r="J47" s="94" t="n"/>
      <c r="K47" s="94" t="n"/>
    </row>
    <row r="48" ht="13.5" customHeight="1" s="144">
      <c r="A48" s="94" t="n"/>
      <c r="B48" s="94" t="inlineStr">
        <is>
          <t>Communication</t>
        </is>
      </c>
      <c r="C48" s="94" t="inlineStr">
        <is>
          <t>Conversation View</t>
        </is>
      </c>
      <c r="D48" s="97" t="inlineStr">
        <is>
          <t>As a Provider, I should be able to open a conversation and see the other provider’s details and the messages grouped by date, with sender and time.</t>
        </is>
      </c>
      <c r="E48" s="94" t="inlineStr">
        <is>
          <t>New</t>
        </is>
      </c>
      <c r="F48" s="94" t="inlineStr">
        <is>
          <t>Must Have</t>
        </is>
      </c>
      <c r="G48" s="94" t="n">
        <v>2</v>
      </c>
      <c r="H48" s="94" t="n">
        <v>2</v>
      </c>
      <c r="I48" s="148" t="inlineStr">
        <is>
          <t>Prototype Link</t>
        </is>
      </c>
      <c r="J48" s="94" t="n"/>
      <c r="K48" s="94" t="n"/>
    </row>
    <row r="49" ht="13.5" customHeight="1" s="144">
      <c r="A49" s="94" t="n"/>
      <c r="B49" s="94" t="inlineStr">
        <is>
          <t>Communication</t>
        </is>
      </c>
      <c r="C49" s="94" t="inlineStr">
        <is>
          <t>Send Message</t>
        </is>
      </c>
      <c r="D49" s="97" t="inlineStr">
        <is>
          <t>As a Provider, I should be able to type and send a message, with the conversation moving to the top of my list.</t>
        </is>
      </c>
      <c r="E49" s="94" t="inlineStr">
        <is>
          <t>New</t>
        </is>
      </c>
      <c r="F49" s="94" t="inlineStr">
        <is>
          <t>Must Have</t>
        </is>
      </c>
      <c r="G49" s="94" t="n">
        <v>2</v>
      </c>
      <c r="H49" s="94" t="n">
        <v>2</v>
      </c>
      <c r="I49" s="148" t="inlineStr">
        <is>
          <t>Prototype Link</t>
        </is>
      </c>
      <c r="J49" s="94" t="n"/>
      <c r="K49" s="94" t="n"/>
    </row>
    <row r="50" ht="13.5" customHeight="1" s="144">
      <c r="A50" s="94" t="n"/>
      <c r="B50" s="94" t="inlineStr">
        <is>
          <t>Communication</t>
        </is>
      </c>
      <c r="C50" s="94" t="inlineStr">
        <is>
          <t>Voice to Text</t>
        </is>
      </c>
      <c r="D50" s="97" t="inlineStr">
        <is>
          <t>As a Provider, I should be able to dictate a message using the microphone.</t>
        </is>
      </c>
      <c r="E50" s="94" t="inlineStr">
        <is>
          <t>New</t>
        </is>
      </c>
      <c r="F50" s="94" t="inlineStr">
        <is>
          <t>Must Have</t>
        </is>
      </c>
      <c r="G50" s="94" t="n">
        <v>2</v>
      </c>
      <c r="H50" s="94" t="n">
        <v>2</v>
      </c>
      <c r="I50" s="148" t="inlineStr">
        <is>
          <t>Prototype Link</t>
        </is>
      </c>
      <c r="J50" s="94" t="n"/>
      <c r="K50" s="94" t="n"/>
    </row>
    <row r="51" ht="13.5" customHeight="1" s="144">
      <c r="A51" s="94" t="n"/>
      <c r="B51" s="94" t="inlineStr">
        <is>
          <t>Communication</t>
        </is>
      </c>
      <c r="C51" s="94" t="inlineStr">
        <is>
          <t>Attach &amp; Share Documents</t>
        </is>
      </c>
      <c r="D51" s="97" t="inlineStr">
        <is>
          <t>As a Provider, I should be able to attach a document to a message and download documents shared in the chat.</t>
        </is>
      </c>
      <c r="E51" s="94" t="inlineStr">
        <is>
          <t>New</t>
        </is>
      </c>
      <c r="F51" s="94" t="inlineStr">
        <is>
          <t>Must Have</t>
        </is>
      </c>
      <c r="G51" s="94" t="n">
        <v>2</v>
      </c>
      <c r="H51" s="94" t="n">
        <v>4</v>
      </c>
      <c r="I51" s="148" t="inlineStr">
        <is>
          <t>Prototype Link</t>
        </is>
      </c>
      <c r="J51" s="94" t="n"/>
      <c r="K51" s="94" t="n"/>
    </row>
    <row r="52" ht="13.5" customHeight="1" s="144">
      <c r="A52" s="94" t="n"/>
      <c r="B52" s="94" t="inlineStr">
        <is>
          <t>Communication</t>
        </is>
      </c>
      <c r="C52" s="94" t="inlineStr">
        <is>
          <t>Reply to a Message</t>
        </is>
      </c>
      <c r="D52" s="97" t="inlineStr">
        <is>
          <t>As a Provider, I should be able to see replies with the earlier message quoted above them.</t>
        </is>
      </c>
      <c r="E52" s="94" t="inlineStr">
        <is>
          <t>New</t>
        </is>
      </c>
      <c r="F52" s="94" t="inlineStr">
        <is>
          <t>Must Have</t>
        </is>
      </c>
      <c r="G52" s="94" t="n">
        <v>2</v>
      </c>
      <c r="H52" s="94" t="n">
        <v>2</v>
      </c>
      <c r="I52" s="148" t="inlineStr">
        <is>
          <t>Prototype Link</t>
        </is>
      </c>
      <c r="J52" s="94" t="n"/>
      <c r="K52" s="94" t="n"/>
    </row>
    <row r="53" ht="13.5" customHeight="1" s="144">
      <c r="A53" s="59" t="n"/>
      <c r="B53" s="59" t="inlineStr">
        <is>
          <t>Communication</t>
        </is>
      </c>
      <c r="C53" s="94" t="inlineStr">
        <is>
          <t>Reactions</t>
        </is>
      </c>
      <c r="D53" s="97" t="inlineStr">
        <is>
          <t>As a Provider, I should be able to react to a message and see the reaction count.</t>
        </is>
      </c>
      <c r="E53" s="94" t="inlineStr">
        <is>
          <t>New</t>
        </is>
      </c>
      <c r="F53" s="94" t="inlineStr">
        <is>
          <t>Must Have</t>
        </is>
      </c>
      <c r="G53" s="94" t="n">
        <v>2</v>
      </c>
      <c r="H53" s="94" t="n">
        <v>2</v>
      </c>
      <c r="I53" s="148" t="inlineStr">
        <is>
          <t>Prototype Link</t>
        </is>
      </c>
      <c r="J53" s="94" t="n"/>
      <c r="K53" s="94" t="n"/>
    </row>
    <row r="54" ht="13.5" customHeight="1" s="144">
      <c r="A54" s="94" t="n"/>
      <c r="B54" s="94" t="inlineStr">
        <is>
          <t>New Chat</t>
        </is>
      </c>
      <c r="C54" s="94" t="inlineStr">
        <is>
          <t>Start New Chat</t>
        </is>
      </c>
      <c r="D54" s="97" t="inlineStr">
        <is>
          <t>As a Provider, I should be able to start a new chat by searching for and selecting a provider.</t>
        </is>
      </c>
      <c r="E54" s="94" t="inlineStr">
        <is>
          <t>New</t>
        </is>
      </c>
      <c r="F54" s="94" t="inlineStr">
        <is>
          <t>Must Have</t>
        </is>
      </c>
      <c r="G54" s="94" t="n">
        <v>2</v>
      </c>
      <c r="H54" s="94" t="n">
        <v>2</v>
      </c>
      <c r="I54" s="148" t="inlineStr">
        <is>
          <t>Prototype Link</t>
        </is>
      </c>
      <c r="J54" s="94" t="n"/>
      <c r="K54" s="94" t="n"/>
    </row>
    <row r="55" ht="13.5" customHeight="1" s="144">
      <c r="A55" s="104" t="inlineStr">
        <is>
          <t>REPORT REVIEW &amp; SIGN-OFF</t>
        </is>
      </c>
      <c r="B55" s="147" t="n"/>
      <c r="C55" s="106" t="n"/>
      <c r="D55" s="80" t="n"/>
      <c r="E55" s="106" t="n"/>
      <c r="F55" s="106" t="n"/>
      <c r="G55" s="106" t="n"/>
      <c r="H55" s="106" t="n"/>
      <c r="I55" s="94" t="n"/>
      <c r="J55" s="94" t="n"/>
      <c r="K55" s="94" t="n"/>
    </row>
    <row r="56" ht="13.5" customHeight="1" s="144">
      <c r="A56" s="94" t="n"/>
      <c r="B56" s="94" t="inlineStr">
        <is>
          <t>Report review</t>
        </is>
      </c>
      <c r="C56" s="94" t="inlineStr">
        <is>
          <t>Review AI report</t>
        </is>
      </c>
      <c r="D56" s="97" t="inlineStr">
        <is>
          <t>As a physician, I can open the AI-drafted report with evidence links.</t>
        </is>
      </c>
      <c r="E56" s="94" t="inlineStr">
        <is>
          <t>Removed</t>
        </is>
      </c>
      <c r="F56" s="94" t="n"/>
      <c r="G56" s="87" t="n">
        <v>12</v>
      </c>
      <c r="H56" s="87" t="n">
        <v>12</v>
      </c>
      <c r="I56" s="94" t="n"/>
      <c r="J56" s="94" t="n"/>
      <c r="K56" s="94" t="n"/>
    </row>
    <row r="57" ht="13.5" customHeight="1" s="144">
      <c r="A57" s="94" t="n"/>
      <c r="B57" s="94" t="inlineStr">
        <is>
          <t>Report review</t>
        </is>
      </c>
      <c r="C57" s="94" t="inlineStr">
        <is>
          <t>Approve / edit / reject</t>
        </is>
      </c>
      <c r="D57" s="97" t="inlineStr">
        <is>
          <t>As a physician, I can approve, edit, reject, or request a repeat test.</t>
        </is>
      </c>
      <c r="E57" s="94" t="inlineStr">
        <is>
          <t>Removed</t>
        </is>
      </c>
      <c r="F57" s="94" t="n"/>
      <c r="G57" s="87" t="n">
        <v>8</v>
      </c>
      <c r="H57" s="87" t="n">
        <v>8</v>
      </c>
      <c r="I57" s="94" t="n"/>
      <c r="J57" s="94" t="n"/>
      <c r="K57" s="94" t="n"/>
    </row>
    <row r="58" ht="13.5" customHeight="1" s="144">
      <c r="A58" s="94" t="n"/>
      <c r="B58" s="94" t="inlineStr">
        <is>
          <t>Report review</t>
        </is>
      </c>
      <c r="C58" s="94" t="inlineStr">
        <is>
          <t>Release to patient</t>
        </is>
      </c>
      <c r="D58" s="97" t="inlineStr">
        <is>
          <t>As a physician, sign-off releases the report to the patient.</t>
        </is>
      </c>
      <c r="E58" s="94" t="inlineStr">
        <is>
          <t>Removed</t>
        </is>
      </c>
      <c r="F58" s="94" t="n"/>
      <c r="G58" s="87" t="n">
        <v>4</v>
      </c>
      <c r="H58" s="87" t="n">
        <v>4</v>
      </c>
      <c r="I58" s="94" t="n"/>
      <c r="J58" s="94" t="n"/>
      <c r="K58" s="94" t="n"/>
    </row>
    <row r="59" ht="13.5" customHeight="1" s="144">
      <c r="A59" s="94" t="n"/>
      <c r="B59" s="94" t="inlineStr">
        <is>
          <t>Report review</t>
        </is>
      </c>
      <c r="C59" s="94" t="inlineStr">
        <is>
          <t>Batch &amp; review time</t>
        </is>
      </c>
      <c r="D59" s="97" t="inlineStr">
        <is>
          <t>As a physician, I can batch unflagged reports; review time is tracked.</t>
        </is>
      </c>
      <c r="E59" s="94" t="inlineStr">
        <is>
          <t>Removed</t>
        </is>
      </c>
      <c r="F59" s="94" t="n"/>
      <c r="G59" s="87" t="n">
        <v>4</v>
      </c>
      <c r="H59" s="87" t="n">
        <v>4</v>
      </c>
      <c r="I59" s="94" t="n"/>
      <c r="J59" s="94" t="n"/>
      <c r="K59" s="94" t="n"/>
    </row>
    <row r="60" ht="13.5" customHeight="1" s="144">
      <c r="A60" s="104" t="inlineStr">
        <is>
          <t xml:space="preserve">REPORT </t>
        </is>
      </c>
      <c r="B60" s="147" t="n"/>
      <c r="C60" s="106" t="n"/>
      <c r="D60" s="80" t="n"/>
      <c r="E60" s="106" t="n"/>
      <c r="F60" s="106" t="n"/>
      <c r="G60" s="106" t="n"/>
      <c r="H60" s="106" t="n"/>
      <c r="I60" s="94" t="n"/>
      <c r="J60" s="94" t="n"/>
      <c r="K60" s="94" t="n"/>
    </row>
    <row r="61" ht="13.5" customHeight="1" s="144">
      <c r="A61" s="94" t="n"/>
      <c r="B61" s="94" t="inlineStr">
        <is>
          <t>Reports</t>
        </is>
      </c>
      <c r="C61" s="94" t="inlineStr">
        <is>
          <t>Reports module</t>
        </is>
      </c>
      <c r="D61" s="97" t="inlineStr">
        <is>
          <t>As a user, I can run reports with filters (period, month, location), see KPIs compared with the previous period and a breakdown by provider with totals, and export or print.</t>
        </is>
      </c>
      <c r="E61" s="94" t="inlineStr">
        <is>
          <t>Retained</t>
        </is>
      </c>
      <c r="F61" s="94" t="n"/>
      <c r="G61" s="94" t="n">
        <v>4</v>
      </c>
      <c r="H61" s="94" t="n">
        <v>4</v>
      </c>
      <c r="I61" s="148" t="inlineStr">
        <is>
          <t>Prototype Link</t>
        </is>
      </c>
      <c r="J61" s="94" t="n"/>
      <c r="K61" s="94" t="n"/>
    </row>
    <row r="62" ht="13.5" customHeight="1" s="144">
      <c r="A62" s="94" t="n"/>
      <c r="B62" s="94" t="inlineStr">
        <is>
          <t>Reports</t>
        </is>
      </c>
      <c r="C62" s="94" t="inlineStr">
        <is>
          <t>Patient Engagement Report</t>
        </is>
      </c>
      <c r="D62" s="97" t="inlineStr">
        <is>
          <t>As a user, I can see patients, invited, active, declined and inactive counts and the active rate by provider.</t>
        </is>
      </c>
      <c r="E62" s="94" t="inlineStr">
        <is>
          <t>Retained</t>
        </is>
      </c>
      <c r="F62" s="94" t="n"/>
      <c r="G62" s="94" t="n">
        <v>2</v>
      </c>
      <c r="H62" s="94" t="n">
        <v>2</v>
      </c>
      <c r="I62" s="148" t="inlineStr">
        <is>
          <t>Prototype Link</t>
        </is>
      </c>
      <c r="J62" s="94" t="n"/>
      <c r="K62" s="94" t="n"/>
    </row>
    <row r="63" ht="13.5" customHeight="1" s="144">
      <c r="A63" s="94" t="n"/>
      <c r="B63" s="94" t="inlineStr">
        <is>
          <t>Reports</t>
        </is>
      </c>
      <c r="C63" s="94" t="inlineStr">
        <is>
          <t>Membership Conversion Report</t>
        </is>
      </c>
      <c r="D63" s="97" t="inlineStr">
        <is>
          <t>As a user, I can see free patients, how many viewed the upgrade, new members, conversion rate and new revenue by provider.</t>
        </is>
      </c>
      <c r="E63" s="94" t="inlineStr">
        <is>
          <t>Retained</t>
        </is>
      </c>
      <c r="F63" s="94" t="n"/>
      <c r="G63" s="94" t="n">
        <v>2</v>
      </c>
      <c r="H63" s="94" t="n">
        <v>2</v>
      </c>
      <c r="I63" s="148" t="inlineStr">
        <is>
          <t>Prototype Link</t>
        </is>
      </c>
      <c r="J63" s="94" t="n"/>
      <c r="K63" s="94" t="n"/>
    </row>
    <row r="64" ht="13.5" customHeight="1" s="144">
      <c r="A64" s="94" t="n"/>
      <c r="B64" s="94" t="inlineStr">
        <is>
          <t>Reports</t>
        </is>
      </c>
      <c r="C64" s="94" t="inlineStr">
        <is>
          <t>Result Review Turnaround Report</t>
        </is>
      </c>
      <c r="D64" s="97" t="inlineStr">
        <is>
          <t>As a user, I can see results received, out of range, reviewed, the percentage reviewed within 48 hours and average time to review by provider.</t>
        </is>
      </c>
      <c r="E64" s="94" t="inlineStr">
        <is>
          <t>Retained</t>
        </is>
      </c>
      <c r="F64" s="94" t="n"/>
      <c r="G64" s="94" t="n">
        <v>2</v>
      </c>
      <c r="H64" s="94" t="n">
        <v>2</v>
      </c>
      <c r="I64" s="94" t="inlineStr">
        <is>
          <t>Not Req</t>
        </is>
      </c>
      <c r="J64" s="94" t="n"/>
      <c r="K64" s="94" t="n"/>
    </row>
    <row r="65" ht="13.5" customHeight="1" s="144">
      <c r="A65" s="94" t="n"/>
      <c r="B65" s="94" t="inlineStr">
        <is>
          <t>Reports</t>
        </is>
      </c>
      <c r="C65" s="94" t="inlineStr">
        <is>
          <t>Care Gap Closure Report</t>
        </is>
      </c>
      <c r="D65" s="97" t="inlineStr">
        <is>
          <t>As a user, I can see care gaps found, outreach sent, gaps closed and closure rate by provider.</t>
        </is>
      </c>
      <c r="E65" s="94" t="inlineStr">
        <is>
          <t>Retained</t>
        </is>
      </c>
      <c r="F65" s="94" t="n"/>
      <c r="G65" s="94" t="n">
        <v>2</v>
      </c>
      <c r="H65" s="94" t="n">
        <v>2</v>
      </c>
      <c r="I65" s="94" t="inlineStr">
        <is>
          <t>Not Req</t>
        </is>
      </c>
      <c r="J65" s="94" t="n"/>
      <c r="K65" s="94" t="n"/>
    </row>
    <row r="66" ht="13.5" customHeight="1" s="144">
      <c r="A66" s="94" t="n"/>
      <c r="B66" s="94" t="inlineStr">
        <is>
          <t>Reports</t>
        </is>
      </c>
      <c r="C66" s="94" t="inlineStr">
        <is>
          <t>Medication Reconciliation Report</t>
        </is>
      </c>
      <c r="D66" s="97" t="inlineStr">
        <is>
          <t>As a user, I can see medication changes flagged, confirmed, waiting and the confirmed rate by provider.</t>
        </is>
      </c>
      <c r="E66" s="94" t="inlineStr">
        <is>
          <t>Retained</t>
        </is>
      </c>
      <c r="F66" s="94" t="n"/>
      <c r="G66" s="94" t="n">
        <v>2</v>
      </c>
      <c r="H66" s="94" t="n">
        <v>2</v>
      </c>
      <c r="I66" s="94" t="inlineStr">
        <is>
          <t>Not Req</t>
        </is>
      </c>
      <c r="J66" s="94" t="n"/>
      <c r="K66" s="94" t="n"/>
    </row>
    <row r="67" ht="13.5" customHeight="1" s="144">
      <c r="A67" s="94" t="n"/>
      <c r="B67" s="94" t="inlineStr">
        <is>
          <t>Reports</t>
        </is>
      </c>
      <c r="C67" s="94" t="inlineStr">
        <is>
          <t>Baseline Tests Report</t>
        </is>
      </c>
      <c r="D67" s="97" t="inlineStr">
        <is>
          <t>As a user, I can see baseline tests ordered, scheduled and completed, the completion rate and average days to complete by provider.</t>
        </is>
      </c>
      <c r="E67" s="94" t="inlineStr">
        <is>
          <t>Retained</t>
        </is>
      </c>
      <c r="F67" s="94" t="n"/>
      <c r="G67" s="94" t="n">
        <v>2</v>
      </c>
      <c r="H67" s="94" t="n">
        <v>2</v>
      </c>
      <c r="I67" s="94" t="inlineStr">
        <is>
          <t>Not Req</t>
        </is>
      </c>
      <c r="J67" s="94" t="n"/>
      <c r="K67" s="94" t="n"/>
    </row>
    <row r="68" ht="13.5" customHeight="1" s="144">
      <c r="A68" s="94" t="n"/>
      <c r="B68" s="94" t="inlineStr">
        <is>
          <t>Reports</t>
        </is>
      </c>
      <c r="C68" s="94" t="inlineStr">
        <is>
          <t>Task Completion Report</t>
        </is>
      </c>
      <c r="D68" s="97" t="inlineStr">
        <is>
          <t>As a user, I can see tasks created, completed and overdue and the completion rate by provider.</t>
        </is>
      </c>
      <c r="E68" s="94" t="inlineStr">
        <is>
          <t>Retained</t>
        </is>
      </c>
      <c r="F68" s="94" t="n"/>
      <c r="G68" s="94" t="n">
        <v>2</v>
      </c>
      <c r="H68" s="94" t="n">
        <v>2</v>
      </c>
      <c r="I68" s="94" t="inlineStr">
        <is>
          <t>Not Req</t>
        </is>
      </c>
      <c r="J68" s="94" t="n"/>
      <c r="K68" s="94" t="n"/>
    </row>
    <row r="69" ht="13.5" customHeight="1" s="144">
      <c r="A69" s="94" t="n"/>
      <c r="B69" s="94" t="inlineStr">
        <is>
          <t>Reports</t>
        </is>
      </c>
      <c r="C69" s="94" t="inlineStr">
        <is>
          <t>Practice-level dashboard</t>
        </is>
      </c>
      <c r="D69" s="97" t="inlineStr">
        <is>
          <t>As a physician, I can see engagement across my panel (office visits, virtual visits, MyChart messages, refills) combined with clinical status, and who has had little engagement in 3 months.</t>
        </is>
      </c>
      <c r="E69" s="94" t="inlineStr">
        <is>
          <t>Retained</t>
        </is>
      </c>
      <c r="F69" s="94" t="n"/>
      <c r="G69" s="94" t="n">
        <v>2</v>
      </c>
      <c r="H69" s="94" t="n">
        <v>4</v>
      </c>
      <c r="I69" s="148" t="inlineStr">
        <is>
          <t>Prototype Link</t>
        </is>
      </c>
      <c r="J69" s="94" t="n"/>
      <c r="K69" s="94" t="n"/>
    </row>
    <row r="70" ht="13.5" customHeight="1" s="144">
      <c r="A70" s="94" t="n"/>
      <c r="B70" s="94" t="inlineStr">
        <is>
          <t>Reports</t>
        </is>
      </c>
      <c r="C70" s="94" t="inlineStr">
        <is>
          <t>Employer reports</t>
        </is>
      </c>
      <c r="D70" s="97" t="inlineStr">
        <is>
          <t>As a physician, I can filter reports by employer to see participation, encounter totals with breakdown (office visits, virtual visits, etc.) per employee and for the whole group, outcome changes, and optimized vs non-optimized patients, all de-identified.</t>
        </is>
      </c>
      <c r="E70" s="94" t="inlineStr">
        <is>
          <t>Retained</t>
        </is>
      </c>
      <c r="F70" s="94" t="n"/>
      <c r="G70" s="94" t="n">
        <v>2</v>
      </c>
      <c r="H70" s="94" t="n">
        <v>4</v>
      </c>
      <c r="I70" s="148" t="inlineStr">
        <is>
          <t>Prototype Link</t>
        </is>
      </c>
      <c r="J70" s="94" t="n"/>
      <c r="K70" s="94" t="n"/>
    </row>
    <row r="71" ht="13.5" customHeight="1" s="144">
      <c r="A71" s="104" t="inlineStr">
        <is>
          <t xml:space="preserve">PATIENT CHARTING </t>
        </is>
      </c>
      <c r="B71" s="147" t="n"/>
      <c r="C71" s="106" t="n"/>
      <c r="D71" s="80" t="n"/>
      <c r="E71" s="106" t="n"/>
      <c r="F71" s="106" t="n"/>
      <c r="G71" s="106" t="n"/>
      <c r="H71" s="106" t="n"/>
      <c r="I71" s="94" t="n"/>
      <c r="J71" s="94" t="n"/>
      <c r="K71" s="94" t="n"/>
    </row>
    <row r="72" ht="13.5" customHeight="1" s="144">
      <c r="A72" s="94" t="n"/>
      <c r="B72" s="94" t="inlineStr">
        <is>
          <t>Record</t>
        </is>
      </c>
      <c r="C72" s="94" t="inlineStr">
        <is>
          <t>Full longitudinal record</t>
        </is>
      </c>
      <c r="D72" s="97" t="inlineStr">
        <is>
          <t>As a physician, I can see the patient’s full health history over time, including where each result came from and its original value</t>
        </is>
      </c>
      <c r="E72" s="94" t="inlineStr">
        <is>
          <t>Retained</t>
        </is>
      </c>
      <c r="F72" s="94" t="inlineStr">
        <is>
          <t>Yes</t>
        </is>
      </c>
      <c r="G72" s="87" t="n">
        <v>4</v>
      </c>
      <c r="H72" s="87" t="n">
        <v>6</v>
      </c>
      <c r="I72" s="148" t="inlineStr">
        <is>
          <t>Prototype Link</t>
        </is>
      </c>
      <c r="J72" s="94" t="n"/>
      <c r="K72" s="94" t="n"/>
    </row>
    <row r="73" ht="13.5" customHeight="1" s="144">
      <c r="A73" s="59" t="n"/>
      <c r="B73" s="59" t="inlineStr">
        <is>
          <t>AI Chart Summary</t>
        </is>
      </c>
      <c r="C73" s="94" t="inlineStr">
        <is>
          <t>Trends &amp; flags</t>
        </is>
      </c>
      <c r="D73" s="97" t="inlineStr">
        <is>
          <t>As a Provider, I should see the patient’s out-of-range results and trends to watch, each with its latest value and a mini trend.</t>
        </is>
      </c>
      <c r="E73" s="94" t="inlineStr">
        <is>
          <t>Modified</t>
        </is>
      </c>
      <c r="F73" s="94" t="inlineStr">
        <is>
          <t>Must Have</t>
        </is>
      </c>
      <c r="G73" s="87" t="n">
        <v>8</v>
      </c>
      <c r="H73" s="87" t="n">
        <v>8</v>
      </c>
      <c r="I73" s="151" t="inlineStr">
        <is>
          <t>Prototype Link</t>
        </is>
      </c>
      <c r="J73" s="87" t="n"/>
      <c r="K73" s="87" t="n"/>
    </row>
    <row r="74" ht="13.5" customHeight="1" s="144">
      <c r="A74" s="94" t="n"/>
      <c r="B74" s="59" t="inlineStr">
        <is>
          <t>AI Chart Summary</t>
        </is>
      </c>
      <c r="C74" s="94" t="inlineStr">
        <is>
          <t>Suggested follow-up tests</t>
        </is>
      </c>
      <c r="D74" s="97" t="inlineStr">
        <is>
          <t>As a physician, I can see sourced follow-up-test suggestions.</t>
        </is>
      </c>
      <c r="E74" s="94" t="inlineStr">
        <is>
          <t>Retained</t>
        </is>
      </c>
      <c r="F74" s="94" t="inlineStr">
        <is>
          <t>Must Have</t>
        </is>
      </c>
      <c r="G74" s="87" t="n">
        <v>8</v>
      </c>
      <c r="H74" s="87" t="n">
        <v>8</v>
      </c>
      <c r="I74" s="87" t="inlineStr">
        <is>
          <t>Not Req</t>
        </is>
      </c>
      <c r="J74" s="87" t="n"/>
      <c r="K74" s="87" t="n"/>
    </row>
    <row r="75" ht="13.5" customHeight="1" s="144">
      <c r="A75" s="94" t="n"/>
      <c r="B75" s="59" t="inlineStr">
        <is>
          <t>AI Chart Summary</t>
        </is>
      </c>
      <c r="C75" s="94" t="inlineStr">
        <is>
          <t>Panel gaps</t>
        </is>
      </c>
      <c r="D75" s="97" t="inlineStr">
        <is>
          <t>As a physician, I can see declining markers and missed testing across my panel.</t>
        </is>
      </c>
      <c r="E75" s="94" t="inlineStr">
        <is>
          <t>Retained</t>
        </is>
      </c>
      <c r="F75" s="94" t="inlineStr">
        <is>
          <t>Must Have</t>
        </is>
      </c>
      <c r="G75" s="87" t="n">
        <v>8</v>
      </c>
      <c r="H75" s="87" t="n">
        <v>8</v>
      </c>
      <c r="I75" s="87" t="inlineStr">
        <is>
          <t>Not Req</t>
        </is>
      </c>
      <c r="J75" s="87" t="n"/>
      <c r="K75" s="87" t="n"/>
    </row>
    <row r="76" ht="13.5" customHeight="1" s="144">
      <c r="A76" s="94" t="n"/>
      <c r="B76" s="94" t="inlineStr">
        <is>
          <t>Patient Header</t>
        </is>
      </c>
      <c r="C76" s="94" t="inlineStr">
        <is>
          <t>Patient Header</t>
        </is>
      </c>
      <c r="D76" s="97" t="inlineStr">
        <is>
          <t>As a Provider, I should see the patient’s photo, name, ID, age, phone, key conditions, and last and next visit at the top of every chart page, and be able to expand or collapse it.</t>
        </is>
      </c>
      <c r="E76" s="94" t="inlineStr">
        <is>
          <t>New</t>
        </is>
      </c>
      <c r="F76" s="94" t="inlineStr">
        <is>
          <t>Must Have</t>
        </is>
      </c>
      <c r="G76" s="94" t="n">
        <v>4</v>
      </c>
      <c r="H76" s="94" t="n">
        <v>2</v>
      </c>
      <c r="I76" s="148" t="inlineStr">
        <is>
          <t>Prototype Link</t>
        </is>
      </c>
      <c r="J76" s="94" t="n"/>
      <c r="K76" s="94" t="n"/>
    </row>
    <row r="77" ht="13.5" customHeight="1" s="144">
      <c r="A77" s="94" t="n"/>
      <c r="B77" s="94" t="inlineStr">
        <is>
          <t>Summary</t>
        </is>
      </c>
      <c r="C77" s="94" t="inlineStr">
        <is>
          <t>One-page summary</t>
        </is>
      </c>
      <c r="D77" s="97" t="inlineStr">
        <is>
          <t>As a physician, I can see conditions, meds, top changes, alerts, labs, questions on one screen and patient’s last sync status.</t>
        </is>
      </c>
      <c r="E77" s="94" t="inlineStr">
        <is>
          <t>Retained</t>
        </is>
      </c>
      <c r="F77" s="94" t="inlineStr">
        <is>
          <t>Yes</t>
        </is>
      </c>
      <c r="G77" s="87" t="n">
        <v>6</v>
      </c>
      <c r="H77" s="87" t="n">
        <v>6</v>
      </c>
      <c r="I77" s="148" t="inlineStr">
        <is>
          <t>Prototype Link</t>
        </is>
      </c>
      <c r="J77" s="94" t="n"/>
      <c r="K77" s="94" t="n"/>
    </row>
    <row r="78" ht="13.5" customHeight="1" s="144">
      <c r="A78" s="94" t="n"/>
      <c r="B78" s="94" t="inlineStr">
        <is>
          <t>Patient Header</t>
        </is>
      </c>
      <c r="C78" s="94" t="inlineStr">
        <is>
          <t>Add patient Label</t>
        </is>
      </c>
      <c r="D78" s="97" t="inlineStr">
        <is>
          <t>As a Provider, I should be able to add a label to the patient from the header.</t>
        </is>
      </c>
      <c r="E78" s="94" t="inlineStr">
        <is>
          <t>New</t>
        </is>
      </c>
      <c r="F78" s="94" t="inlineStr">
        <is>
          <t>Must Have</t>
        </is>
      </c>
      <c r="G78" s="94" t="n">
        <v>2</v>
      </c>
      <c r="H78" s="94" t="n">
        <v>2</v>
      </c>
      <c r="I78" s="148" t="inlineStr">
        <is>
          <t>Prototype Link</t>
        </is>
      </c>
      <c r="J78" s="94" t="n"/>
      <c r="K78" s="94" t="n"/>
    </row>
    <row r="79" ht="13.5" customHeight="1" s="144">
      <c r="A79" s="94" t="n"/>
      <c r="B79" s="94" t="inlineStr">
        <is>
          <t>Dashboard</t>
        </is>
      </c>
      <c r="C79" s="94" t="inlineStr">
        <is>
          <t>Important Updates</t>
        </is>
      </c>
      <c r="D79" s="97" t="inlineStr">
        <is>
          <t>As a Provider, I should see the patient’s important updates since the last visit, grouped into “Action needed” and “For review”, with the reason for each, and open any update.</t>
        </is>
      </c>
      <c r="E79" s="94" t="inlineStr">
        <is>
          <t>New</t>
        </is>
      </c>
      <c r="F79" s="94" t="inlineStr">
        <is>
          <t>Must Have</t>
        </is>
      </c>
      <c r="G79" s="94" t="n">
        <v>4</v>
      </c>
      <c r="H79" s="94" t="n">
        <v>2</v>
      </c>
      <c r="I79" s="148" t="inlineStr">
        <is>
          <t>Prototype Link</t>
        </is>
      </c>
      <c r="J79" s="94" t="n"/>
      <c r="K79" s="94" t="n"/>
    </row>
    <row r="80" ht="13.5" customHeight="1" s="144">
      <c r="A80" s="94" t="n"/>
      <c r="B80" s="94" t="inlineStr">
        <is>
          <t>Overview</t>
        </is>
      </c>
      <c r="C80" s="94" t="inlineStr">
        <is>
          <t>Face Sheet</t>
        </is>
      </c>
      <c r="D80" s="97" t="inlineStr">
        <is>
          <t>As a Provider, I should see the patient’s face sheet with allergies, diagnoses, medications, encounters, appointments, vitals and lab results, and open the full section from any card.</t>
        </is>
      </c>
      <c r="E80" s="94" t="inlineStr">
        <is>
          <t>New</t>
        </is>
      </c>
      <c r="F80" s="94" t="inlineStr">
        <is>
          <t>Must Have</t>
        </is>
      </c>
      <c r="G80" s="94" t="n">
        <v>6</v>
      </c>
      <c r="H80" s="94" t="n">
        <v>4</v>
      </c>
      <c r="I80" s="148" t="inlineStr">
        <is>
          <t>Prototype Link</t>
        </is>
      </c>
      <c r="J80" s="94" t="n"/>
      <c r="K80" s="94" t="n"/>
    </row>
    <row r="81" ht="13.5" customHeight="1" s="144">
      <c r="A81" s="94" t="n"/>
      <c r="B81" s="94" t="inlineStr">
        <is>
          <t>Overview</t>
        </is>
      </c>
      <c r="C81" s="94" t="inlineStr">
        <is>
          <t>Print Chart</t>
        </is>
      </c>
      <c r="D81" s="97" t="inlineStr">
        <is>
          <t>As a Provider, I should be able to print the face sheet or save it as a PDF.</t>
        </is>
      </c>
      <c r="E81" s="94" t="inlineStr">
        <is>
          <t>New</t>
        </is>
      </c>
      <c r="F81" s="94" t="inlineStr">
        <is>
          <t>Must Have</t>
        </is>
      </c>
      <c r="G81" s="94" t="n">
        <v>2</v>
      </c>
      <c r="H81" s="94" t="n">
        <v>2</v>
      </c>
      <c r="I81" s="148" t="inlineStr">
        <is>
          <t>Prototype Link</t>
        </is>
      </c>
      <c r="J81" s="94" t="n"/>
      <c r="K81" s="94" t="n"/>
    </row>
    <row r="82" ht="13.5" customHeight="1" s="144">
      <c r="A82" s="94" t="n"/>
      <c r="B82" s="94" t="inlineStr">
        <is>
          <t>Overview</t>
        </is>
      </c>
      <c r="C82" s="94" t="inlineStr">
        <is>
          <t>Timeline</t>
        </is>
      </c>
      <c r="D82" s="97" t="inlineStr">
        <is>
          <t>As a Provider, I should see the patient’s history as a timeline of events grouped by date, and filter it by event type.</t>
        </is>
      </c>
      <c r="E82" s="94" t="inlineStr">
        <is>
          <t>New</t>
        </is>
      </c>
      <c r="F82" s="94" t="inlineStr">
        <is>
          <t>Must Have</t>
        </is>
      </c>
      <c r="G82" s="94" t="n">
        <v>4</v>
      </c>
      <c r="H82" s="94" t="n">
        <v>2</v>
      </c>
      <c r="I82" s="148" t="inlineStr">
        <is>
          <t>Prototype Link</t>
        </is>
      </c>
      <c r="J82" s="94" t="n"/>
      <c r="K82" s="94" t="n"/>
    </row>
    <row r="83" ht="13.5" customHeight="1" s="144">
      <c r="A83" s="94" t="n"/>
      <c r="B83" s="94" t="inlineStr">
        <is>
          <t>Care Plan</t>
        </is>
      </c>
      <c r="C83" s="94" t="inlineStr">
        <is>
          <t>Edit Plan</t>
        </is>
      </c>
      <c r="D83" s="97" t="inlineStr">
        <is>
          <t>As a Provider, I should be able to edit the care plan as a new version, adding, changing or deleting plans and items.</t>
        </is>
      </c>
      <c r="E83" s="94" t="inlineStr">
        <is>
          <t>New</t>
        </is>
      </c>
      <c r="F83" s="94" t="inlineStr">
        <is>
          <t>Must Have</t>
        </is>
      </c>
      <c r="G83" s="94" t="n">
        <v>6</v>
      </c>
      <c r="H83" s="94" t="n">
        <v>4</v>
      </c>
      <c r="I83" s="148" t="inlineStr">
        <is>
          <t>Prototype Link</t>
        </is>
      </c>
      <c r="J83" s="94" t="n"/>
      <c r="K83" s="94" t="n"/>
    </row>
    <row r="84" ht="13.5" customHeight="1" s="144">
      <c r="A84" s="94" t="n"/>
      <c r="B84" s="94" t="inlineStr">
        <is>
          <t>Care Plan</t>
        </is>
      </c>
      <c r="C84" s="94" t="inlineStr">
        <is>
          <t>Plan History</t>
        </is>
      </c>
      <c r="D84" s="97" t="inlineStr">
        <is>
          <t>As a Provider, I should see the care plan’s history of actions and versions, and view any earlier version.</t>
        </is>
      </c>
      <c r="E84" s="94" t="inlineStr">
        <is>
          <t>New</t>
        </is>
      </c>
      <c r="F84" s="94" t="inlineStr">
        <is>
          <t>Must Have</t>
        </is>
      </c>
      <c r="G84" s="94" t="n">
        <v>2</v>
      </c>
      <c r="H84" s="94" t="n">
        <v>2</v>
      </c>
      <c r="I84" s="148" t="inlineStr">
        <is>
          <t>Prototype Link</t>
        </is>
      </c>
      <c r="J84" s="87" t="n"/>
      <c r="K84" s="87" t="n"/>
    </row>
    <row r="85" ht="13.5" customHeight="1" s="144">
      <c r="A85" s="94" t="n"/>
      <c r="B85" s="94" t="inlineStr">
        <is>
          <t>Care Plan</t>
        </is>
      </c>
      <c r="C85" s="94" t="inlineStr">
        <is>
          <t>Revise Plan</t>
        </is>
      </c>
      <c r="D85" s="97" t="inlineStr">
        <is>
          <t>As a Provider, I should be able to revise a plan already sent to the patient, which creates a new version.</t>
        </is>
      </c>
      <c r="E85" s="94" t="inlineStr">
        <is>
          <t>New</t>
        </is>
      </c>
      <c r="F85" s="94" t="inlineStr">
        <is>
          <t>Must Have</t>
        </is>
      </c>
      <c r="G85" s="94" t="n">
        <v>2</v>
      </c>
      <c r="H85" s="94" t="n">
        <v>2</v>
      </c>
      <c r="I85" s="148" t="inlineStr">
        <is>
          <t>Prototype Link</t>
        </is>
      </c>
      <c r="J85" s="96" t="n"/>
      <c r="K85" s="96" t="n"/>
    </row>
    <row r="86" ht="13.5" customHeight="1" s="144">
      <c r="A86" s="94" t="n"/>
      <c r="B86" s="94" t="inlineStr">
        <is>
          <t>Encounters</t>
        </is>
      </c>
      <c r="C86" s="94" t="inlineStr">
        <is>
          <t>Encounter List</t>
        </is>
      </c>
      <c r="D86" s="97" t="inlineStr">
        <is>
          <t>As a Provider, I should see the patient’s encounters with type, date and provider, and search and filter them by source.</t>
        </is>
      </c>
      <c r="E86" s="94" t="inlineStr">
        <is>
          <t>New</t>
        </is>
      </c>
      <c r="F86" s="94" t="inlineStr">
        <is>
          <t>Must Have</t>
        </is>
      </c>
      <c r="G86" s="94" t="n">
        <v>2</v>
      </c>
      <c r="H86" s="94" t="n">
        <v>2</v>
      </c>
      <c r="I86" s="148" t="inlineStr">
        <is>
          <t>Prototype Link</t>
        </is>
      </c>
      <c r="J86" s="87" t="n"/>
      <c r="K86" s="87" t="n"/>
    </row>
    <row r="87" ht="13.5" customHeight="1" s="144">
      <c r="A87" s="94" t="n"/>
      <c r="B87" s="94" t="inlineStr">
        <is>
          <t>Encounters</t>
        </is>
      </c>
      <c r="C87" s="94" t="inlineStr">
        <is>
          <t>Encounter view</t>
        </is>
      </c>
      <c r="D87" s="97" t="inlineStr">
        <is>
          <t>As a Provider, I should be able to open an encounter and see its summary document, including where it was received from.</t>
        </is>
      </c>
      <c r="E87" s="94" t="inlineStr">
        <is>
          <t>New</t>
        </is>
      </c>
      <c r="F87" s="94" t="inlineStr">
        <is>
          <t>Must Have</t>
        </is>
      </c>
      <c r="G87" s="94" t="n">
        <v>4</v>
      </c>
      <c r="H87" s="94" t="n">
        <v>2</v>
      </c>
      <c r="I87" s="148" t="inlineStr">
        <is>
          <t>Prototype Link</t>
        </is>
      </c>
      <c r="J87" s="87" t="n"/>
      <c r="K87" s="87" t="n"/>
    </row>
    <row r="88" ht="13.5" customHeight="1" s="144">
      <c r="A88" s="94" t="n"/>
      <c r="B88" s="94" t="inlineStr">
        <is>
          <t>Encounters</t>
        </is>
      </c>
      <c r="C88" s="94" t="inlineStr">
        <is>
          <t>Print &amp; Download Encounter</t>
        </is>
      </c>
      <c r="D88" s="97" t="inlineStr">
        <is>
          <t>As a Provider, I should be able to print or download the encounter summary.</t>
        </is>
      </c>
      <c r="E88" s="94" t="inlineStr">
        <is>
          <t>New</t>
        </is>
      </c>
      <c r="F88" s="94" t="inlineStr">
        <is>
          <t>Must Have</t>
        </is>
      </c>
      <c r="G88" s="94" t="n">
        <v>2</v>
      </c>
      <c r="H88" s="94" t="n">
        <v>2</v>
      </c>
      <c r="I88" s="148" t="inlineStr">
        <is>
          <t>Prototype Link</t>
        </is>
      </c>
      <c r="J88" s="87" t="n"/>
      <c r="K88" s="87" t="n"/>
    </row>
    <row r="89" ht="13.5" customHeight="1" s="144">
      <c r="A89" s="94" t="n"/>
      <c r="B89" s="94" t="inlineStr">
        <is>
          <t>Appointments</t>
        </is>
      </c>
      <c r="C89" s="94" t="inlineStr">
        <is>
          <t>Appointments</t>
        </is>
      </c>
      <c r="D89" s="97" t="inlineStr">
        <is>
          <t>As a Provider, I should see the patient’s upcoming and past appointments with their details and status, and search them.</t>
        </is>
      </c>
      <c r="E89" s="94" t="inlineStr">
        <is>
          <t>New</t>
        </is>
      </c>
      <c r="F89" s="94" t="inlineStr">
        <is>
          <t>Must Have</t>
        </is>
      </c>
      <c r="G89" s="94" t="n">
        <v>2</v>
      </c>
      <c r="H89" s="94" t="n">
        <v>2</v>
      </c>
      <c r="I89" s="148" t="inlineStr">
        <is>
          <t>Prototype Link</t>
        </is>
      </c>
      <c r="J89" s="87" t="n"/>
      <c r="K89" s="87" t="n"/>
    </row>
    <row r="90" ht="13.5" customHeight="1" s="144">
      <c r="A90" s="94" t="n"/>
      <c r="B90" s="94" t="inlineStr">
        <is>
          <t>Diagnoses</t>
        </is>
      </c>
      <c r="C90" s="94" t="inlineStr">
        <is>
          <t>Diagnosis List</t>
        </is>
      </c>
      <c r="D90" s="97" t="inlineStr">
        <is>
          <t>As a Provider, I should see the patient’s diagnoses with code, type, dates, status and note, and search and filter them.</t>
        </is>
      </c>
      <c r="E90" s="94" t="inlineStr">
        <is>
          <t>New</t>
        </is>
      </c>
      <c r="F90" s="94" t="inlineStr">
        <is>
          <t>Must Have</t>
        </is>
      </c>
      <c r="G90" s="94" t="n">
        <v>2</v>
      </c>
      <c r="H90" s="94" t="n">
        <v>2</v>
      </c>
      <c r="I90" s="148" t="inlineStr">
        <is>
          <t>Prototype Link</t>
        </is>
      </c>
      <c r="J90" s="87" t="n"/>
      <c r="K90" s="87" t="n"/>
    </row>
    <row r="91" ht="13.5" customHeight="1" s="144">
      <c r="A91" s="94" t="n"/>
      <c r="B91" s="94" t="inlineStr">
        <is>
          <t>Diagnoses</t>
        </is>
      </c>
      <c r="C91" s="94" t="inlineStr">
        <is>
          <t>Diagnosis Details</t>
        </is>
      </c>
      <c r="D91" s="97" t="inlineStr">
        <is>
          <t>As a Provider, I should be able to open a diagnosis and see its full details, including codes, source and last EHR update.</t>
        </is>
      </c>
      <c r="E91" s="94" t="inlineStr">
        <is>
          <t>New</t>
        </is>
      </c>
      <c r="F91" s="94" t="inlineStr">
        <is>
          <t>Must Have</t>
        </is>
      </c>
      <c r="G91" s="94" t="n">
        <v>2</v>
      </c>
      <c r="H91" s="94" t="n">
        <v>2</v>
      </c>
      <c r="I91" s="148" t="inlineStr">
        <is>
          <t>Prototype Link</t>
        </is>
      </c>
      <c r="J91" s="87" t="n"/>
      <c r="K91" s="87" t="n"/>
    </row>
    <row r="92" ht="13.5" customHeight="1" s="144">
      <c r="A92" s="94" t="n"/>
      <c r="B92" s="94" t="inlineStr">
        <is>
          <t>Medications</t>
        </is>
      </c>
      <c r="C92" s="94" t="inlineStr">
        <is>
          <t>Medications</t>
        </is>
      </c>
      <c r="D92" s="97" t="inlineStr">
        <is>
          <t>As a Provider, I should see the patient’s active and past medications with sig, patient confirmation and approval status, and search and filter them.</t>
        </is>
      </c>
      <c r="E92" s="94" t="inlineStr">
        <is>
          <t>New</t>
        </is>
      </c>
      <c r="F92" s="94" t="inlineStr">
        <is>
          <t>Must Have</t>
        </is>
      </c>
      <c r="G92" s="94" t="n">
        <v>4</v>
      </c>
      <c r="H92" s="94" t="n">
        <v>4</v>
      </c>
      <c r="I92" s="148" t="inlineStr">
        <is>
          <t>Prototype Link</t>
        </is>
      </c>
      <c r="J92" s="87" t="n"/>
      <c r="K92" s="87" t="n"/>
    </row>
    <row r="93" ht="13.5" customHeight="1" s="144">
      <c r="A93" s="94" t="n"/>
      <c r="B93" s="94" t="inlineStr">
        <is>
          <t>Allergies</t>
        </is>
      </c>
      <c r="C93" s="94" t="inlineStr">
        <is>
          <t>Allergies</t>
        </is>
      </c>
      <c r="D93" s="97" t="inlineStr">
        <is>
          <t>As a Provider, I should see the patient’s allergies with type, reaction, severity and status, and search and filter them.</t>
        </is>
      </c>
      <c r="E93" s="94" t="inlineStr">
        <is>
          <t>New</t>
        </is>
      </c>
      <c r="F93" s="94" t="inlineStr">
        <is>
          <t>Must Have</t>
        </is>
      </c>
      <c r="G93" s="94" t="n">
        <v>2</v>
      </c>
      <c r="H93" s="94" t="n">
        <v>2</v>
      </c>
      <c r="I93" s="148" t="inlineStr">
        <is>
          <t>Prototype Link</t>
        </is>
      </c>
      <c r="J93" s="87" t="n"/>
      <c r="K93" s="87" t="n"/>
    </row>
    <row r="94" ht="13.5" customHeight="1" s="144">
      <c r="A94" s="87" t="n"/>
      <c r="B94" s="87" t="inlineStr">
        <is>
          <t>Patient Chart</t>
        </is>
      </c>
      <c r="C94" s="87" t="inlineStr">
        <is>
          <t>Vitals – Card View</t>
        </is>
      </c>
      <c r="D94" s="84" t="inlineStr">
        <is>
          <t>As a Provider, I should see the patient’s latest vitals as cards, each with the previous reading, whether it’s normal or above normal, and when and by whom it was recorded.</t>
        </is>
      </c>
      <c r="E94" s="87" t="inlineStr">
        <is>
          <t>New</t>
        </is>
      </c>
      <c r="F94" s="94" t="inlineStr">
        <is>
          <t>Must Have</t>
        </is>
      </c>
      <c r="G94" s="87" t="n">
        <v>2</v>
      </c>
      <c r="H94" s="87" t="n">
        <v>2</v>
      </c>
      <c r="I94" s="148" t="inlineStr">
        <is>
          <t>Prototype Link</t>
        </is>
      </c>
      <c r="J94" s="87" t="n"/>
      <c r="K94" s="87" t="n"/>
    </row>
    <row r="95" ht="13.5" customHeight="1" s="144">
      <c r="A95" s="94" t="n"/>
      <c r="B95" s="94" t="inlineStr">
        <is>
          <t>Patient Chart</t>
        </is>
      </c>
      <c r="C95" s="94" t="inlineStr">
        <is>
          <t>Vitals – Trend View</t>
        </is>
      </c>
      <c r="D95" s="97" t="inlineStr">
        <is>
          <t>As a Provider, I should be able to pick a vital and see its readings over a week, a month or 90 days on a chart.</t>
        </is>
      </c>
      <c r="E95" s="94" t="inlineStr">
        <is>
          <t>New</t>
        </is>
      </c>
      <c r="F95" s="94" t="inlineStr">
        <is>
          <t>Must Have</t>
        </is>
      </c>
      <c r="G95" s="94" t="n">
        <v>2</v>
      </c>
      <c r="H95" s="94" t="n">
        <v>2</v>
      </c>
      <c r="I95" s="148" t="inlineStr">
        <is>
          <t>Prototype Link</t>
        </is>
      </c>
      <c r="J95" s="87" t="n"/>
      <c r="K95" s="87" t="n"/>
    </row>
    <row r="96" ht="13.5" customHeight="1" s="144">
      <c r="A96" s="94" t="n"/>
      <c r="B96" s="94" t="inlineStr">
        <is>
          <t>Patient Chart</t>
        </is>
      </c>
      <c r="C96" s="94" t="inlineStr">
        <is>
          <t>Vitals – Table View</t>
        </is>
      </c>
      <c r="D96" s="97" t="inlineStr">
        <is>
          <t>As a Provider, I should see all vitals readings by date in a table with who recorded them, view any reading, and page through them.</t>
        </is>
      </c>
      <c r="E96" s="94" t="inlineStr">
        <is>
          <t>New</t>
        </is>
      </c>
      <c r="F96" s="94" t="inlineStr">
        <is>
          <t>Must Have</t>
        </is>
      </c>
      <c r="G96" s="94" t="n">
        <v>2</v>
      </c>
      <c r="H96" s="94" t="n">
        <v>2</v>
      </c>
      <c r="I96" s="148" t="inlineStr">
        <is>
          <t>Prototype Link</t>
        </is>
      </c>
      <c r="J96" s="87" t="n"/>
      <c r="K96" s="87" t="n"/>
    </row>
    <row r="97" ht="13.5" customHeight="1" s="144">
      <c r="A97" s="94" t="n"/>
      <c r="B97" s="94" t="inlineStr">
        <is>
          <t>Patient Chart</t>
        </is>
      </c>
      <c r="C97" s="94" t="inlineStr">
        <is>
          <t>Lab Reports</t>
        </is>
      </c>
      <c r="D97" s="97" t="inlineStr">
        <is>
          <t>As a Provider, I should see the patient’s lab reports with how many results are flagged, search and filter them by lab, and open a report to see its results, previous values, trend and comments, and print or download it.</t>
        </is>
      </c>
      <c r="E97" s="94" t="inlineStr">
        <is>
          <t>New</t>
        </is>
      </c>
      <c r="F97" s="94" t="inlineStr">
        <is>
          <t>Must Have</t>
        </is>
      </c>
      <c r="G97" s="87" t="n">
        <v>6</v>
      </c>
      <c r="H97" s="87" t="n">
        <v>6</v>
      </c>
      <c r="I97" s="148" t="inlineStr">
        <is>
          <t>Prototype Link</t>
        </is>
      </c>
      <c r="J97" s="87" t="n"/>
      <c r="K97" s="87" t="n"/>
    </row>
    <row r="98" ht="13.5" customHeight="1" s="144">
      <c r="A98" s="94" t="n"/>
      <c r="B98" s="94" t="inlineStr">
        <is>
          <t>Patient Chart</t>
        </is>
      </c>
      <c r="C98" s="94" t="inlineStr">
        <is>
          <t>Lab Orders</t>
        </is>
      </c>
      <c r="D98" s="97" t="inlineStr">
        <is>
          <t>As a Provider, I should see the lab orders placed for the patient and open any of them.</t>
        </is>
      </c>
      <c r="E98" s="94" t="inlineStr">
        <is>
          <t>New</t>
        </is>
      </c>
      <c r="F98" s="94" t="inlineStr">
        <is>
          <t>Must Have</t>
        </is>
      </c>
      <c r="G98" s="87" t="n">
        <v>2</v>
      </c>
      <c r="H98" s="87" t="n">
        <v>2</v>
      </c>
      <c r="I98" s="148" t="inlineStr">
        <is>
          <t>Prototype Link</t>
        </is>
      </c>
      <c r="J98" s="87" t="n"/>
      <c r="K98" s="87" t="n"/>
    </row>
    <row r="99" ht="13.5" customHeight="1" s="144">
      <c r="A99" s="94" t="n"/>
      <c r="B99" s="94" t="inlineStr">
        <is>
          <t>Patient Chart</t>
        </is>
      </c>
      <c r="C99" s="94" t="inlineStr">
        <is>
          <t>Add Lab Order</t>
        </is>
      </c>
      <c r="D99" s="97" t="inlineStr">
        <is>
          <t>As a Provider, I should be able to place a lab order for the patient by choosing the tests, lab, priority, diagnosis and collection date, and add a note to the lab.</t>
        </is>
      </c>
      <c r="E99" s="94" t="inlineStr">
        <is>
          <t>New</t>
        </is>
      </c>
      <c r="F99" s="94" t="inlineStr">
        <is>
          <t>Must Have</t>
        </is>
      </c>
      <c r="G99" s="87" t="n">
        <v>6</v>
      </c>
      <c r="H99" s="87" t="n">
        <v>6</v>
      </c>
      <c r="I99" s="148" t="inlineStr">
        <is>
          <t>Prototype Link</t>
        </is>
      </c>
      <c r="J99" s="87" t="n"/>
      <c r="K99" s="87" t="n"/>
    </row>
    <row r="100" ht="13.5" customHeight="1" s="144">
      <c r="A100" s="94" t="n"/>
      <c r="B100" s="94" t="inlineStr">
        <is>
          <t xml:space="preserve">Patient Chart/ details </t>
        </is>
      </c>
      <c r="C100" s="94" t="inlineStr">
        <is>
          <t>sticky  notes</t>
        </is>
      </c>
      <c r="D100" s="97" t="inlineStr">
        <is>
          <t>As a Provider, I should see the patient’s sticky note count with the latest note, and be able to add a note.</t>
        </is>
      </c>
      <c r="E100" s="94" t="inlineStr">
        <is>
          <t>Modified</t>
        </is>
      </c>
      <c r="F100" s="94" t="inlineStr">
        <is>
          <t>Must Have</t>
        </is>
      </c>
      <c r="G100" s="87" t="n">
        <v>6</v>
      </c>
      <c r="H100" s="87" t="n">
        <v>6</v>
      </c>
      <c r="I100" s="148" t="inlineStr">
        <is>
          <t>Prototype Link</t>
        </is>
      </c>
      <c r="J100" s="87" t="n"/>
      <c r="K100" s="87" t="n"/>
    </row>
    <row r="101" ht="13.5" customHeight="1" s="144">
      <c r="A101" s="94" t="n"/>
      <c r="B101" s="94" t="inlineStr">
        <is>
          <t>Patient Chart</t>
        </is>
      </c>
      <c r="C101" s="94" t="inlineStr">
        <is>
          <t xml:space="preserve">Family History </t>
        </is>
      </c>
      <c r="D101" s="97" t="inlineStr">
        <is>
          <t>As a Provider, I should see the patient’s family history in a structured list from the patient chart, with each relative’s condition, age at onset and whether they’re deceased, so that I can assess hereditary risk factors in their care.</t>
        </is>
      </c>
      <c r="E101" s="94" t="inlineStr">
        <is>
          <t>New</t>
        </is>
      </c>
      <c r="F101" s="94" t="inlineStr">
        <is>
          <t>Must Have</t>
        </is>
      </c>
      <c r="G101" s="87" t="n">
        <v>2</v>
      </c>
      <c r="H101" s="87" t="n">
        <v>2</v>
      </c>
      <c r="I101" s="148" t="inlineStr">
        <is>
          <t>Prototype Link</t>
        </is>
      </c>
      <c r="J101" s="87" t="n"/>
      <c r="K101" s="87" t="n"/>
    </row>
    <row r="102" ht="13.5" customHeight="1" s="144">
      <c r="A102" s="94" t="n"/>
      <c r="B102" s="94" t="inlineStr">
        <is>
          <t>Patient Chart</t>
        </is>
      </c>
      <c r="C102" s="94" t="inlineStr">
        <is>
          <t>Patient Profile</t>
        </is>
      </c>
      <c r="D102" s="97" t="inlineStr">
        <is>
          <t>As a Provider, I should see the patient’s full profile, including basic, contact and additional details, care team, enrollment, emergency contacts, consents, and practitioners and locations.</t>
        </is>
      </c>
      <c r="E102" s="94" t="inlineStr">
        <is>
          <t>New</t>
        </is>
      </c>
      <c r="F102" s="94" t="inlineStr">
        <is>
          <t>Must Have</t>
        </is>
      </c>
      <c r="G102" s="87" t="n">
        <v>4</v>
      </c>
      <c r="H102" s="87" t="n">
        <v>4</v>
      </c>
      <c r="I102" s="148" t="inlineStr">
        <is>
          <t>Prototype Link</t>
        </is>
      </c>
      <c r="J102" s="87" t="n"/>
      <c r="K102" s="87" t="n"/>
    </row>
    <row r="103" ht="13.5" customHeight="1" s="144">
      <c r="A103" s="94" t="n"/>
      <c r="B103" s="94" t="inlineStr">
        <is>
          <t>Patient Chart</t>
        </is>
      </c>
      <c r="C103" s="94" t="inlineStr">
        <is>
          <t>Discharge or Deactivate Patient</t>
        </is>
      </c>
      <c r="D103" s="97" t="inlineStr">
        <is>
          <t>As a Provider, I should be able to discharge or deactivate a patient from their profile.</t>
        </is>
      </c>
      <c r="E103" s="94" t="inlineStr">
        <is>
          <t>New</t>
        </is>
      </c>
      <c r="F103" s="94" t="inlineStr">
        <is>
          <t>Must Have</t>
        </is>
      </c>
      <c r="G103" s="87" t="n">
        <v>2</v>
      </c>
      <c r="H103" s="87" t="n">
        <v>2</v>
      </c>
      <c r="I103" s="148" t="inlineStr">
        <is>
          <t>Prototype Link</t>
        </is>
      </c>
      <c r="J103" s="87" t="n"/>
      <c r="K103" s="87" t="n"/>
    </row>
    <row r="104" ht="13.5" customHeight="1" s="144">
      <c r="A104" s="104" t="inlineStr">
        <is>
          <t>Plan builder</t>
        </is>
      </c>
      <c r="B104" s="147" t="n"/>
      <c r="C104" s="106" t="n"/>
      <c r="D104" s="80" t="n"/>
      <c r="E104" s="106" t="n"/>
      <c r="F104" s="106" t="n"/>
      <c r="G104" s="106" t="n"/>
      <c r="H104" s="106" t="n"/>
      <c r="I104" s="87" t="n"/>
      <c r="J104" s="87" t="n"/>
      <c r="K104" s="87" t="n"/>
    </row>
    <row r="105" ht="13.5" customHeight="1" s="144">
      <c r="A105" s="59" t="n"/>
      <c r="B105" s="59" t="inlineStr">
        <is>
          <t>Plan builder</t>
        </is>
      </c>
      <c r="C105" s="94" t="inlineStr">
        <is>
          <t>Goals &amp; interventions</t>
        </is>
      </c>
      <c r="D105" s="97" t="inlineStr">
        <is>
          <t>As a physician, I can set goals, interventions, cadence, and success measures.</t>
        </is>
      </c>
      <c r="E105" s="94" t="inlineStr">
        <is>
          <t>Removed</t>
        </is>
      </c>
      <c r="F105" s="94" t="inlineStr">
        <is>
          <t>Must Have</t>
        </is>
      </c>
      <c r="G105" s="87" t="n">
        <v>6</v>
      </c>
      <c r="H105" s="87" t="n">
        <v>6</v>
      </c>
      <c r="I105" s="94" t="n"/>
      <c r="J105" s="87" t="n"/>
      <c r="K105" s="87" t="n"/>
    </row>
    <row r="106" ht="13.5" customHeight="1" s="144">
      <c r="A106" s="94" t="n"/>
      <c r="B106" s="94" t="inlineStr">
        <is>
          <t>Plan builder</t>
        </is>
      </c>
      <c r="C106" s="94" t="inlineStr">
        <is>
          <t>Approve goals</t>
        </is>
      </c>
      <c r="D106" s="97" t="inlineStr">
        <is>
          <t>As a physician, I can approve patient goals.</t>
        </is>
      </c>
      <c r="E106" s="94" t="inlineStr">
        <is>
          <t>Removed</t>
        </is>
      </c>
      <c r="F106" s="94" t="inlineStr">
        <is>
          <t>Must Have</t>
        </is>
      </c>
      <c r="G106" s="87" t="n">
        <v>2</v>
      </c>
      <c r="H106" s="87" t="n">
        <v>4</v>
      </c>
      <c r="I106" s="87" t="n"/>
      <c r="J106" s="87" t="n"/>
      <c r="K106" s="87" t="n"/>
    </row>
    <row r="107" ht="13.5" customHeight="1" s="144">
      <c r="A107" s="104" t="inlineStr">
        <is>
          <t>ALERTS &amp; SAFETY</t>
        </is>
      </c>
      <c r="B107" s="147" t="n"/>
      <c r="C107" s="106" t="n"/>
      <c r="D107" s="80" t="n"/>
      <c r="E107" s="106" t="n"/>
      <c r="F107" s="106" t="n"/>
      <c r="G107" s="106" t="n"/>
      <c r="H107" s="106" t="n"/>
      <c r="I107" s="87" t="n"/>
      <c r="J107" s="87" t="n"/>
      <c r="K107" s="87" t="n"/>
    </row>
    <row r="108" ht="13.5" customHeight="1" s="144">
      <c r="A108" s="59" t="n"/>
      <c r="B108" s="59" t="inlineStr">
        <is>
          <t>Alerts</t>
        </is>
      </c>
      <c r="C108" s="94" t="inlineStr">
        <is>
          <t>Alert detail</t>
        </is>
      </c>
      <c r="D108" s="97" t="inlineStr">
        <is>
          <t>As a physician, I can see triggering data, rule version, confidence, and disposition.</t>
        </is>
      </c>
      <c r="E108" s="94" t="inlineStr">
        <is>
          <t>Retained</t>
        </is>
      </c>
      <c r="F108" s="94" t="inlineStr">
        <is>
          <t>Must Have</t>
        </is>
      </c>
      <c r="G108" s="87" t="n">
        <v>6</v>
      </c>
      <c r="H108" s="87" t="n">
        <v>6</v>
      </c>
      <c r="I108" s="94" t="inlineStr">
        <is>
          <t>Not Req</t>
        </is>
      </c>
      <c r="J108" s="87" t="n"/>
      <c r="K108" s="87" t="n"/>
    </row>
    <row r="109" ht="13.5" customHeight="1" s="144">
      <c r="A109" s="94" t="n"/>
      <c r="B109" s="94" t="inlineStr">
        <is>
          <t>Alerts</t>
        </is>
      </c>
      <c r="C109" s="94" t="inlineStr">
        <is>
          <t>Acknowledge &amp; route</t>
        </is>
      </c>
      <c r="D109" s="97" t="inlineStr">
        <is>
          <t>As a physician, I can acknowledge an alert and record the action.</t>
        </is>
      </c>
      <c r="E109" s="94" t="inlineStr">
        <is>
          <t>Removed</t>
        </is>
      </c>
      <c r="F109" s="94" t="inlineStr">
        <is>
          <t>Must Have</t>
        </is>
      </c>
      <c r="G109" s="87" t="n">
        <v>6</v>
      </c>
      <c r="H109" s="87" t="n">
        <v>6</v>
      </c>
      <c r="I109" s="87" t="n"/>
      <c r="J109" s="87" t="n"/>
      <c r="K109" s="87" t="n"/>
    </row>
    <row r="110" ht="13.5" customHeight="1" s="144">
      <c r="A110" s="104" t="inlineStr">
        <is>
          <t>BILLING</t>
        </is>
      </c>
      <c r="B110" s="147" t="n"/>
      <c r="C110" s="106" t="n"/>
      <c r="D110" s="80" t="n"/>
      <c r="E110" s="106" t="n"/>
      <c r="F110" s="106" t="n"/>
      <c r="G110" s="106" t="n"/>
      <c r="H110" s="106" t="n"/>
      <c r="I110" s="87" t="n"/>
      <c r="J110" s="87" t="n"/>
      <c r="K110" s="87" t="n"/>
    </row>
    <row r="111" ht="13.5" customHeight="1" s="144">
      <c r="A111" s="94" t="n"/>
      <c r="B111" s="94" t="inlineStr">
        <is>
          <t>Billing</t>
        </is>
      </c>
      <c r="C111" s="94" t="inlineStr">
        <is>
          <t>Revenue-share statements</t>
        </is>
      </c>
      <c r="D111" s="97" t="inlineStr">
        <is>
          <t>As a practice admin, I can view revenue-share statements for my practice.</t>
        </is>
      </c>
      <c r="E111" s="94" t="inlineStr">
        <is>
          <t>Removed</t>
        </is>
      </c>
      <c r="F111" s="94" t="inlineStr">
        <is>
          <t>Must Have</t>
        </is>
      </c>
      <c r="G111" s="87" t="n">
        <v>8</v>
      </c>
      <c r="H111" s="87" t="n">
        <v>8</v>
      </c>
      <c r="I111" s="87" t="n"/>
      <c r="J111" s="87" t="n"/>
      <c r="K111" s="87" t="n"/>
    </row>
    <row r="112" ht="13.5" customHeight="1" s="144">
      <c r="A112" s="94" t="n"/>
      <c r="B112" s="94" t="inlineStr">
        <is>
          <t>Billing</t>
        </is>
      </c>
      <c r="C112" s="94" t="inlineStr">
        <is>
          <t>Physician review fee</t>
        </is>
      </c>
      <c r="D112" s="97" t="inlineStr">
        <is>
          <t>As a practice admin, I can see the per-review physician fee earned.</t>
        </is>
      </c>
      <c r="E112" s="94" t="inlineStr">
        <is>
          <t>Removed</t>
        </is>
      </c>
      <c r="F112" s="94" t="inlineStr">
        <is>
          <t>Must Have</t>
        </is>
      </c>
      <c r="G112" s="87" t="n">
        <v>8</v>
      </c>
      <c r="H112" s="87" t="n">
        <v>8</v>
      </c>
      <c r="I112" s="87" t="n"/>
      <c r="J112" s="87" t="n"/>
      <c r="K112" s="87" t="n"/>
    </row>
    <row r="113" ht="13.5" customHeight="1" s="144">
      <c r="A113" s="94" t="n"/>
      <c r="B113" s="94" t="inlineStr">
        <is>
          <t>Billing</t>
        </is>
      </c>
      <c r="C113" s="94" t="inlineStr">
        <is>
          <t>Practice Invoices</t>
        </is>
      </c>
      <c r="D113" s="97" t="inlineStr">
        <is>
          <t>As a Clinic Manager, I can see my practice’s invoices for every month and download the statment and pay for it.</t>
        </is>
      </c>
      <c r="E113" s="94" t="inlineStr">
        <is>
          <t>Modified</t>
        </is>
      </c>
      <c r="F113" s="94" t="inlineStr">
        <is>
          <t>Must Have</t>
        </is>
      </c>
      <c r="G113" s="87" t="n">
        <v>2</v>
      </c>
      <c r="H113" s="87" t="n">
        <v>2</v>
      </c>
      <c r="I113" s="151" t="inlineStr">
        <is>
          <t>Prototype Link</t>
        </is>
      </c>
      <c r="J113" s="87" t="n"/>
      <c r="K113" s="87" t="n"/>
    </row>
    <row r="114" ht="13.5" customHeight="1" s="144">
      <c r="A114" s="94" t="n"/>
      <c r="B114" s="94" t="inlineStr">
        <is>
          <t>Billing</t>
        </is>
      </c>
      <c r="C114" s="94" t="inlineStr">
        <is>
          <t>Invoice Details</t>
        </is>
      </c>
      <c r="D114" s="97" t="inlineStr">
        <is>
          <t>As a Clinic Manager, I can open an invoice to see its full breakdown by test, patient, facility and price, with any carried credit, and download it as a PDF.</t>
        </is>
      </c>
      <c r="E114" s="94" t="inlineStr">
        <is>
          <t>New</t>
        </is>
      </c>
      <c r="F114" s="94" t="inlineStr">
        <is>
          <t>Must Have</t>
        </is>
      </c>
      <c r="G114" s="87" t="n">
        <v>2</v>
      </c>
      <c r="H114" s="87" t="n">
        <v>4</v>
      </c>
      <c r="I114" s="151" t="inlineStr">
        <is>
          <t>Prototype Link</t>
        </is>
      </c>
      <c r="J114" s="87" t="n"/>
      <c r="K114" s="87" t="n"/>
    </row>
    <row r="115" ht="13.5" customHeight="1" s="144">
      <c r="A115" s="94" t="n"/>
      <c r="B115" s="94" t="inlineStr">
        <is>
          <t>Billing</t>
        </is>
      </c>
      <c r="C115" s="94" t="inlineStr">
        <is>
          <t>Pay Invoice &amp; Raise Query</t>
        </is>
      </c>
      <c r="D115" s="97" t="inlineStr">
        <is>
          <t>As a Clinic Manager, I can pay an invoice, or raise a query about it, with “Pay now” hidden when auto-debit is on.</t>
        </is>
      </c>
      <c r="E115" s="94" t="inlineStr">
        <is>
          <t>New</t>
        </is>
      </c>
      <c r="F115" s="94" t="inlineStr">
        <is>
          <t>Must Have</t>
        </is>
      </c>
      <c r="G115" s="87" t="n">
        <v>2</v>
      </c>
      <c r="H115" s="87" t="n">
        <v>2</v>
      </c>
      <c r="I115" s="87" t="inlineStr">
        <is>
          <t>Not Req</t>
        </is>
      </c>
      <c r="J115" s="87" t="n"/>
      <c r="K115" s="87" t="n"/>
    </row>
    <row r="116" ht="13.5" customHeight="1" s="144">
      <c r="A116" s="94" t="n"/>
      <c r="B116" s="94" t="inlineStr">
        <is>
          <t>Orders</t>
        </is>
      </c>
      <c r="C116" s="94" t="inlineStr">
        <is>
          <t>Order a Test</t>
        </is>
      </c>
      <c r="D116" s="97" t="inlineStr">
        <is>
          <t>As a Provider, I can order a practice-paid test or scan for a patient from the catalogue at the provider price, and follow it to the result.</t>
        </is>
      </c>
      <c r="E116" s="94" t="inlineStr">
        <is>
          <t>New</t>
        </is>
      </c>
      <c r="F116" s="94" t="inlineStr">
        <is>
          <t>Must Have</t>
        </is>
      </c>
      <c r="G116" s="87" t="n">
        <v>2</v>
      </c>
      <c r="H116" s="87" t="n">
        <v>4</v>
      </c>
      <c r="I116" s="151" t="inlineStr">
        <is>
          <t>Prototype Link</t>
        </is>
      </c>
      <c r="J116" s="87" t="n"/>
      <c r="K116" s="87" t="n"/>
    </row>
    <row r="117" ht="13.5" customHeight="1" s="144">
      <c r="A117" s="94" t="n"/>
      <c r="B117" s="94" t="inlineStr">
        <is>
          <t>Orders</t>
        </is>
      </c>
      <c r="C117" s="94" t="inlineStr">
        <is>
          <t>Order Details</t>
        </is>
      </c>
      <c r="D117" s="97" t="inlineStr">
        <is>
          <t>As a Provider, I can open an order and see the patient, tests, lab or facility, priority, collection date, price and its status from ordered to result.</t>
        </is>
      </c>
      <c r="E117" s="94" t="inlineStr">
        <is>
          <t>New</t>
        </is>
      </c>
      <c r="F117" s="94" t="inlineStr">
        <is>
          <t>Must Have</t>
        </is>
      </c>
      <c r="G117" s="87" t="n">
        <v>2</v>
      </c>
      <c r="H117" s="87" t="n">
        <v>2</v>
      </c>
      <c r="I117" s="151" t="inlineStr">
        <is>
          <t>Prototype Link</t>
        </is>
      </c>
      <c r="J117" s="87" t="n"/>
      <c r="K117" s="87" t="n"/>
    </row>
    <row r="118" ht="13.5" customHeight="1" s="144">
      <c r="A118" s="104" t="inlineStr">
        <is>
          <t xml:space="preserve">PROVIDER SETTINGS </t>
        </is>
      </c>
      <c r="B118" s="147" t="n"/>
      <c r="C118" s="106" t="n"/>
      <c r="D118" s="80" t="n"/>
      <c r="E118" s="106" t="n"/>
      <c r="F118" s="106" t="n"/>
      <c r="G118" s="106" t="n"/>
      <c r="H118" s="106" t="n"/>
      <c r="I118" s="87" t="n"/>
      <c r="J118" s="87" t="n"/>
      <c r="K118" s="87" t="n"/>
    </row>
    <row r="119" ht="13.5" customHeight="1" s="144">
      <c r="A119" s="94" t="n"/>
      <c r="B119" s="87" t="inlineStr">
        <is>
          <t>Billing</t>
        </is>
      </c>
      <c r="C119" s="87" t="inlineStr">
        <is>
          <t>Entitlements</t>
        </is>
      </c>
      <c r="D119" s="84" t="inlineStr">
        <is>
          <t>As a practice admin, I can see what the membership covers vs paid add-ons.</t>
        </is>
      </c>
      <c r="E119" s="94" t="inlineStr">
        <is>
          <t>Removed</t>
        </is>
      </c>
      <c r="F119" s="94" t="inlineStr">
        <is>
          <t>Must Have</t>
        </is>
      </c>
      <c r="G119" s="87" t="n">
        <v>8</v>
      </c>
      <c r="H119" s="87" t="n">
        <v>8</v>
      </c>
      <c r="I119" s="87" t="n"/>
      <c r="J119" s="87" t="n"/>
      <c r="K119" s="87" t="n"/>
    </row>
    <row r="120" ht="13.5" customHeight="1" s="144">
      <c r="A120" s="94" t="n"/>
      <c r="B120" s="87" t="inlineStr">
        <is>
          <t>Admin</t>
        </is>
      </c>
      <c r="C120" s="87" t="inlineStr">
        <is>
          <t>Users, roles, RBAC</t>
        </is>
      </c>
      <c r="D120" s="84" t="inlineStr">
        <is>
          <t>As an admin, I can manage users, roles, and permissions.</t>
        </is>
      </c>
      <c r="E120" s="94" t="inlineStr">
        <is>
          <t>Retained</t>
        </is>
      </c>
      <c r="F120" s="94" t="inlineStr">
        <is>
          <t>Must Have</t>
        </is>
      </c>
      <c r="G120" s="87" t="n">
        <v>8</v>
      </c>
      <c r="H120" s="87" t="n">
        <v>8</v>
      </c>
      <c r="I120" s="151" t="inlineStr">
        <is>
          <t>Prototype Link</t>
        </is>
      </c>
      <c r="J120" s="87" t="n"/>
      <c r="K120" s="87" t="n"/>
    </row>
    <row r="121" ht="13.5" customHeight="1" s="144">
      <c r="A121" s="94" t="n"/>
      <c r="B121" s="87" t="inlineStr">
        <is>
          <t>Notifications</t>
        </is>
      </c>
      <c r="C121" s="87" t="inlineStr">
        <is>
          <t>Receive alerts</t>
        </is>
      </c>
      <c r="D121" s="84" t="inlineStr">
        <is>
          <t>As a physician, I receive alerts for flagged findings and pending sign-offs (no PHI in email/SMS).</t>
        </is>
      </c>
      <c r="E121" s="94" t="inlineStr">
        <is>
          <t>Retained</t>
        </is>
      </c>
      <c r="F121" s="94" t="inlineStr">
        <is>
          <t>Must Have</t>
        </is>
      </c>
      <c r="G121" s="87" t="n">
        <v>8</v>
      </c>
      <c r="H121" s="87" t="n">
        <v>8</v>
      </c>
      <c r="I121" s="87" t="inlineStr">
        <is>
          <t>Not Req</t>
        </is>
      </c>
      <c r="J121" s="87" t="n"/>
      <c r="K121" s="87" t="n"/>
    </row>
    <row r="122" ht="13.5" customHeight="1" s="144">
      <c r="A122" s="94" t="n"/>
      <c r="B122" s="87" t="inlineStr">
        <is>
          <t>Notifications</t>
        </is>
      </c>
      <c r="C122" s="87" t="inlineStr">
        <is>
          <t>Notification preferences</t>
        </is>
      </c>
      <c r="D122" s="84" t="inlineStr">
        <is>
          <t>As a physician, I can manage my notification channels.</t>
        </is>
      </c>
      <c r="E122" s="94" t="inlineStr">
        <is>
          <t>Retained</t>
        </is>
      </c>
      <c r="F122" s="94" t="inlineStr">
        <is>
          <t>Must Have</t>
        </is>
      </c>
      <c r="G122" s="87" t="n">
        <v>8</v>
      </c>
      <c r="H122" s="87" t="n">
        <v>8</v>
      </c>
      <c r="I122" s="151" t="inlineStr">
        <is>
          <t>Prototype Link</t>
        </is>
      </c>
      <c r="J122" s="87" t="n"/>
      <c r="K122" s="87" t="n"/>
    </row>
    <row r="123" ht="13.5" customHeight="1" s="144">
      <c r="A123" s="94" t="n"/>
      <c r="B123" s="94" t="inlineStr">
        <is>
          <t>Provider Account</t>
        </is>
      </c>
      <c r="C123" s="94" t="inlineStr">
        <is>
          <t>Patient Flags</t>
        </is>
      </c>
      <c r="D123" s="97" t="inlineStr">
        <is>
          <t>As a Provider, I can manage patient flags (name, colour, created by, created and updated dates): search, add, edit and delete them.</t>
        </is>
      </c>
      <c r="E123" s="94" t="inlineStr">
        <is>
          <t>New</t>
        </is>
      </c>
      <c r="F123" s="94" t="inlineStr">
        <is>
          <t>Must Have</t>
        </is>
      </c>
      <c r="G123" s="87" t="n">
        <v>2</v>
      </c>
      <c r="H123" s="87" t="n">
        <v>2</v>
      </c>
      <c r="I123" s="151" t="inlineStr">
        <is>
          <t>Prototype Link</t>
        </is>
      </c>
      <c r="J123" s="87" t="n"/>
      <c r="K123" s="87" t="n"/>
    </row>
    <row r="124" ht="13.5" customHeight="1" s="144">
      <c r="A124" s="94" t="n"/>
      <c r="B124" s="94" t="inlineStr">
        <is>
          <t>Notifications</t>
        </is>
      </c>
      <c r="C124" s="94" t="inlineStr">
        <is>
          <t>Notification preferences</t>
        </is>
      </c>
      <c r="D124" s="97" t="inlineStr">
        <is>
          <t>As a physician, I can manage which events alert me (hospital events, patient record, care plan) and on which channels (push, text, email), and reset to default or save.</t>
        </is>
      </c>
      <c r="E124" s="94" t="inlineStr">
        <is>
          <t>New</t>
        </is>
      </c>
      <c r="F124" s="94" t="inlineStr">
        <is>
          <t>Must Have</t>
        </is>
      </c>
      <c r="G124" s="87" t="n">
        <v>2</v>
      </c>
      <c r="H124" s="87" t="n">
        <v>2</v>
      </c>
      <c r="I124" s="151" t="inlineStr">
        <is>
          <t>Prototype Link</t>
        </is>
      </c>
      <c r="J124" s="87" t="n"/>
      <c r="K124" s="87" t="n"/>
    </row>
    <row r="125" ht="13.5" customHeight="1" s="144">
      <c r="A125" s="94" t="n"/>
      <c r="B125" s="94" t="inlineStr">
        <is>
          <t>Security</t>
        </is>
      </c>
      <c r="C125" s="94" t="inlineStr">
        <is>
          <t>Audit Log</t>
        </is>
      </c>
      <c r="D125" s="97" t="inlineStr">
        <is>
          <t>As a Provider, I can see an audit log of actions in my practice (date and time, user and role, action, item, IP address, result), and search, filter, export and page through it.</t>
        </is>
      </c>
      <c r="E125" s="94" t="inlineStr">
        <is>
          <t>New</t>
        </is>
      </c>
      <c r="F125" s="94" t="inlineStr">
        <is>
          <t>Must Have</t>
        </is>
      </c>
      <c r="G125" s="87" t="n">
        <v>2</v>
      </c>
      <c r="H125" s="87" t="n">
        <v>4</v>
      </c>
      <c r="I125" s="151" t="inlineStr">
        <is>
          <t>Prototype Link</t>
        </is>
      </c>
      <c r="J125" s="87" t="n"/>
      <c r="K125" s="87" t="n"/>
    </row>
    <row r="126" ht="13.5" customHeight="1" s="144">
      <c r="A126" s="104" t="n"/>
      <c r="B126" s="104" t="inlineStr">
        <is>
          <t>CLINIC MANAGER – Dashboard</t>
        </is>
      </c>
      <c r="C126" s="106" t="n"/>
      <c r="D126" s="80" t="n"/>
      <c r="E126" s="106" t="n"/>
      <c r="F126" s="106" t="n"/>
      <c r="G126" s="106" t="n"/>
      <c r="H126" s="106" t="n"/>
      <c r="I126" s="87" t="n"/>
      <c r="J126" s="87" t="n"/>
      <c r="K126" s="87" t="n"/>
    </row>
    <row r="127" ht="13.5" customHeight="1" s="144">
      <c r="A127" s="94" t="n"/>
      <c r="B127" s="94" t="inlineStr">
        <is>
          <t>Dashboard</t>
        </is>
      </c>
      <c r="C127" s="94" t="inlineStr">
        <is>
          <t>Enrollment &amp; activation</t>
        </is>
      </c>
      <c r="D127" s="97" t="inlineStr">
        <is>
          <t>As a practice admin, I can see patient enrollment and activation metrics, including the enrollment funnel from invited to members, filter the dashboard by period and location, and open the related report from any card.</t>
        </is>
      </c>
      <c r="E127" s="94" t="inlineStr">
        <is>
          <t>New</t>
        </is>
      </c>
      <c r="F127" s="94" t="inlineStr">
        <is>
          <t>Must Have</t>
        </is>
      </c>
      <c r="G127" s="87" t="n">
        <v>2</v>
      </c>
      <c r="H127" s="87" t="n">
        <v>2</v>
      </c>
      <c r="I127" s="151" t="inlineStr">
        <is>
          <t>Prototype Link</t>
        </is>
      </c>
      <c r="J127" s="87" t="n"/>
      <c r="K127" s="87" t="n"/>
    </row>
    <row r="128" ht="13.5" customHeight="1" s="144">
      <c r="A128" s="94" t="n"/>
      <c r="B128" s="94" t="inlineStr">
        <is>
          <t>Dashboard</t>
        </is>
      </c>
      <c r="C128" s="94" t="inlineStr">
        <is>
          <t>Engagement metrics</t>
        </is>
      </c>
      <c r="D128" s="97" t="inlineStr">
        <is>
          <t>As a practice admin, I can see patient engagement across my panel, including encounters by type over time.</t>
        </is>
      </c>
      <c r="E128" s="94" t="inlineStr">
        <is>
          <t>New</t>
        </is>
      </c>
      <c r="F128" s="94" t="inlineStr">
        <is>
          <t>Must Have</t>
        </is>
      </c>
      <c r="G128" s="87" t="n">
        <v>2</v>
      </c>
      <c r="H128" s="87" t="n">
        <v>2</v>
      </c>
      <c r="I128" s="151" t="inlineStr">
        <is>
          <t>Prototype Link</t>
        </is>
      </c>
      <c r="J128" s="87" t="n"/>
      <c r="K128" s="87" t="n"/>
    </row>
    <row r="129" ht="13.5" customHeight="1" s="144">
      <c r="A129" s="94" t="n"/>
      <c r="B129" s="94" t="inlineStr">
        <is>
          <t>Dashboard</t>
        </is>
      </c>
      <c r="C129" s="94" t="inlineStr">
        <is>
          <t>Outcome changes</t>
        </is>
      </c>
      <c r="D129" s="97" t="inlineStr">
        <is>
          <t>As a practice admin, I can see outcome changes over time for my patients.</t>
        </is>
      </c>
      <c r="E129" s="94" t="inlineStr">
        <is>
          <t>New</t>
        </is>
      </c>
      <c r="F129" s="94" t="inlineStr">
        <is>
          <t>Must Have</t>
        </is>
      </c>
      <c r="G129" s="87" t="n">
        <v>2</v>
      </c>
      <c r="H129" s="87" t="n">
        <v>2</v>
      </c>
      <c r="I129" s="151" t="inlineStr">
        <is>
          <t>Prototype Link</t>
        </is>
      </c>
      <c r="J129" s="87" t="n"/>
      <c r="K129" s="87" t="n"/>
    </row>
    <row r="130" ht="13.5" customHeight="1" s="144">
      <c r="A130" s="94" t="n"/>
      <c r="B130" s="94" t="inlineStr">
        <is>
          <t>Dashboard</t>
        </is>
      </c>
      <c r="C130" s="94" t="inlineStr">
        <is>
          <t>Alert volume</t>
        </is>
      </c>
      <c r="D130" s="97" t="inlineStr">
        <is>
          <t>As a practice admin, I can see alert volume and severity across my panel.</t>
        </is>
      </c>
      <c r="E130" s="94" t="inlineStr">
        <is>
          <t>New</t>
        </is>
      </c>
      <c r="F130" s="94" t="inlineStr">
        <is>
          <t>Must Have</t>
        </is>
      </c>
      <c r="G130" s="87" t="n">
        <v>2</v>
      </c>
      <c r="H130" s="87" t="n">
        <v>2</v>
      </c>
      <c r="I130" s="151" t="inlineStr">
        <is>
          <t>Prototype Link</t>
        </is>
      </c>
      <c r="J130" s="87" t="n"/>
      <c r="K130" s="87" t="n"/>
    </row>
    <row r="131" ht="13.5" customHeight="1" s="144">
      <c r="A131" s="94" t="n"/>
      <c r="B131" s="94" t="inlineStr">
        <is>
          <t>Dashboard</t>
        </is>
      </c>
      <c r="C131" s="94" t="inlineStr">
        <is>
          <t>Value &amp; renewal metrics</t>
        </is>
      </c>
      <c r="D131" s="97" t="inlineStr">
        <is>
          <t>As a practice admin, I can see value and renewal-supporting metrics.</t>
        </is>
      </c>
      <c r="E131" s="94" t="inlineStr">
        <is>
          <t>New</t>
        </is>
      </c>
      <c r="F131" s="94" t="inlineStr">
        <is>
          <t>Must Have</t>
        </is>
      </c>
      <c r="G131" s="87" t="n">
        <v>2</v>
      </c>
      <c r="H131" s="87" t="n">
        <v>2</v>
      </c>
      <c r="I131" s="151" t="inlineStr">
        <is>
          <t>Prototype Link</t>
        </is>
      </c>
      <c r="J131" s="87" t="n"/>
      <c r="K131" s="87" t="n"/>
    </row>
    <row r="132" ht="13.5" customHeight="1" s="144">
      <c r="A132" s="104" t="inlineStr">
        <is>
          <t>CLINIC MANAGER – USER MANAGEMENT (new feature)</t>
        </is>
      </c>
      <c r="B132" s="147" t="n"/>
      <c r="C132" s="106" t="n"/>
      <c r="D132" s="80" t="n"/>
      <c r="E132" s="106" t="n"/>
      <c r="F132" s="106" t="n"/>
      <c r="G132" s="106" t="n"/>
      <c r="H132" s="106" t="n"/>
      <c r="I132" s="87" t="n"/>
      <c r="J132" s="87" t="n"/>
      <c r="K132" s="87" t="n"/>
    </row>
    <row r="133" ht="13.5" customHeight="1" s="144">
      <c r="A133" s="94" t="n"/>
      <c r="B133" s="94" t="inlineStr">
        <is>
          <t>Users</t>
        </is>
      </c>
      <c r="C133" s="94" t="inlineStr">
        <is>
          <t xml:space="preserve">Search, Filter </t>
        </is>
      </c>
      <c r="D133" s="97" t="inlineStr">
        <is>
          <t>As a Clinic Manager, I should be able to search, filter and page through the providers and non-clinical users lists.</t>
        </is>
      </c>
      <c r="E133" s="94" t="inlineStr">
        <is>
          <t>New</t>
        </is>
      </c>
      <c r="F133" s="94" t="inlineStr">
        <is>
          <t>Must Have</t>
        </is>
      </c>
      <c r="G133" s="87" t="n">
        <v>2</v>
      </c>
      <c r="H133" s="87" t="n">
        <v>2</v>
      </c>
      <c r="I133" s="148" t="inlineStr">
        <is>
          <t>Prototype Link</t>
        </is>
      </c>
      <c r="J133" s="87" t="n"/>
      <c r="K133" s="87" t="n"/>
    </row>
    <row r="134" ht="13.5" customHeight="1" s="144">
      <c r="A134" s="94" t="n"/>
      <c r="B134" s="94" t="inlineStr">
        <is>
          <t>Providers</t>
        </is>
      </c>
      <c r="C134" s="94" t="inlineStr">
        <is>
          <t>Bulk Add Providers</t>
        </is>
      </c>
      <c r="D134" s="97" t="inlineStr">
        <is>
          <t>As a Clinic Manager, I should be able to add providers in bulk.</t>
        </is>
      </c>
      <c r="E134" s="94" t="inlineStr">
        <is>
          <t>New</t>
        </is>
      </c>
      <c r="F134" s="94" t="inlineStr">
        <is>
          <t>Must Have</t>
        </is>
      </c>
      <c r="G134" s="87" t="n">
        <v>4</v>
      </c>
      <c r="H134" s="87" t="n">
        <v>4</v>
      </c>
      <c r="I134" s="148" t="inlineStr">
        <is>
          <t>Prototype Link</t>
        </is>
      </c>
      <c r="J134" s="87" t="n"/>
      <c r="K134" s="87" t="n"/>
    </row>
    <row r="135" ht="13.5" customHeight="1" s="144">
      <c r="A135" s="94" t="n"/>
      <c r="B135" s="94" t="inlineStr">
        <is>
          <t>Providers</t>
        </is>
      </c>
      <c r="C135" s="94" t="inlineStr">
        <is>
          <t>Add Provider</t>
        </is>
      </c>
      <c r="D135" s="97" t="inlineStr">
        <is>
          <t>As a Clinic Manager, I should be able to add a provider with their basic details, contact details, other details (tax ID, service locations, specialty, supervising providers, medical assistants, billing) and education and work experience.</t>
        </is>
      </c>
      <c r="E135" s="94" t="inlineStr">
        <is>
          <t>New</t>
        </is>
      </c>
      <c r="F135" s="94" t="inlineStr">
        <is>
          <t>Must Have</t>
        </is>
      </c>
      <c r="G135" s="87" t="n">
        <v>4</v>
      </c>
      <c r="H135" s="87" t="n">
        <v>4</v>
      </c>
      <c r="I135" s="148" t="inlineStr">
        <is>
          <t>Prototype Link</t>
        </is>
      </c>
      <c r="J135" s="87" t="n"/>
      <c r="K135" s="87" t="n"/>
    </row>
    <row r="136" ht="13.5" customHeight="1" s="144">
      <c r="A136" s="94" t="n"/>
      <c r="B136" s="94" t="inlineStr">
        <is>
          <t>Providers</t>
        </is>
      </c>
      <c r="C136" s="94" t="inlineStr">
        <is>
          <t>Provider Profile</t>
        </is>
      </c>
      <c r="D136" s="97" t="inlineStr">
        <is>
          <t>As a Clinic Manager, I should be able to view a provider’s profile with their basic, contact and other details, qualifications and experience, and licensing andprovider signiture and  compliance.</t>
        </is>
      </c>
      <c r="E136" s="94" t="inlineStr">
        <is>
          <t>New</t>
        </is>
      </c>
      <c r="F136" s="94" t="inlineStr">
        <is>
          <t>Must Have</t>
        </is>
      </c>
      <c r="G136" s="87" t="n">
        <v>2</v>
      </c>
      <c r="H136" s="87" t="n">
        <v>2</v>
      </c>
      <c r="I136" s="148" t="inlineStr">
        <is>
          <t>Prototype Link</t>
        </is>
      </c>
      <c r="J136" s="87" t="n"/>
      <c r="K136" s="87" t="n"/>
    </row>
    <row r="137" ht="13.5" customHeight="1" s="144">
      <c r="A137" s="94" t="n"/>
      <c r="B137" s="94" t="inlineStr">
        <is>
          <t xml:space="preserve">Provider </t>
        </is>
      </c>
      <c r="C137" s="94" t="inlineStr">
        <is>
          <t>Provider Bulk Import – CSV Import History</t>
        </is>
      </c>
      <c r="D137" s="97" t="inlineStr">
        <is>
          <t>As a Clinical Manager,
I want to view the CSV import history for Provider Bulk Import, with success, duplicate and error counts,
so that I can track each import</t>
        </is>
      </c>
      <c r="E137" s="94" t="inlineStr">
        <is>
          <t>New</t>
        </is>
      </c>
      <c r="F137" s="94" t="inlineStr">
        <is>
          <t>Must Have</t>
        </is>
      </c>
      <c r="G137" s="87" t="n">
        <v>2</v>
      </c>
      <c r="H137" s="87" t="n">
        <v>2</v>
      </c>
      <c r="I137" s="148" t="inlineStr">
        <is>
          <t>Prototype Link</t>
        </is>
      </c>
      <c r="J137" s="87" t="n"/>
      <c r="K137" s="87" t="n"/>
    </row>
    <row r="138" ht="13.5" customHeight="1" s="144">
      <c r="A138" s="94" t="n"/>
      <c r="B138" s="94" t="inlineStr">
        <is>
          <t>Providers</t>
        </is>
      </c>
      <c r="C138" s="94" t="inlineStr">
        <is>
          <t>Edit Provider</t>
        </is>
      </c>
      <c r="D138" s="97" t="inlineStr">
        <is>
          <t>As a Clinic Manager, I should be able to edit a provider’s details and profile picture (email is read-only), and save my changes.</t>
        </is>
      </c>
      <c r="E138" s="94" t="inlineStr">
        <is>
          <t>New</t>
        </is>
      </c>
      <c r="F138" s="94" t="inlineStr">
        <is>
          <t>Must Have</t>
        </is>
      </c>
      <c r="G138" s="87" t="n">
        <v>2</v>
      </c>
      <c r="H138" s="87" t="n">
        <v>4</v>
      </c>
      <c r="I138" s="148" t="inlineStr">
        <is>
          <t>Prototype Link</t>
        </is>
      </c>
      <c r="J138" s="87" t="n"/>
      <c r="K138" s="87" t="n"/>
    </row>
    <row r="139" ht="13.5" customHeight="1" s="144">
      <c r="A139" s="94" t="n"/>
      <c r="B139" s="94" t="inlineStr">
        <is>
          <t>Non-clinical Users</t>
        </is>
      </c>
      <c r="C139" s="94" t="inlineStr">
        <is>
          <t>Non-clinical Users List</t>
        </is>
      </c>
      <c r="D139" s="97" t="inlineStr">
        <is>
          <t>As a Clinic Manager, I should see the practice’s non-clinical users with their ID, name, role, contact number, email, last activity and status.</t>
        </is>
      </c>
      <c r="E139" s="94" t="inlineStr">
        <is>
          <t>New</t>
        </is>
      </c>
      <c r="F139" s="94" t="inlineStr">
        <is>
          <t>Must Have</t>
        </is>
      </c>
      <c r="G139" s="87" t="n">
        <v>2</v>
      </c>
      <c r="H139" s="87" t="n">
        <v>4</v>
      </c>
      <c r="I139" s="148" t="inlineStr">
        <is>
          <t>Prototype Link</t>
        </is>
      </c>
      <c r="J139" s="87" t="n"/>
      <c r="K139" s="87" t="n"/>
    </row>
    <row r="140" ht="13.5" customHeight="1" s="144">
      <c r="A140" s="94" t="n"/>
      <c r="B140" s="94" t="inlineStr">
        <is>
          <t>Non-clinical Users</t>
        </is>
      </c>
      <c r="C140" s="94" t="inlineStr">
        <is>
          <t>Add User</t>
        </is>
      </c>
      <c r="D140" s="97" t="inlineStr">
        <is>
          <t>As a Clinic Manager, I should be able to add a non-clinical user with their name, role, contact number, email, locations and profile picture.</t>
        </is>
      </c>
      <c r="E140" s="94" t="inlineStr">
        <is>
          <t>New</t>
        </is>
      </c>
      <c r="F140" s="94" t="inlineStr">
        <is>
          <t>Must Have</t>
        </is>
      </c>
      <c r="G140" s="87" t="n">
        <v>2</v>
      </c>
      <c r="H140" s="87" t="n">
        <v>4</v>
      </c>
      <c r="I140" s="148" t="inlineStr">
        <is>
          <t>Prototype Link</t>
        </is>
      </c>
      <c r="J140" s="87" t="n"/>
      <c r="K140" s="87" t="n"/>
    </row>
    <row r="141" ht="13.5" customHeight="1" s="144">
      <c r="A141" s="104" t="inlineStr">
        <is>
          <t>LOCATIONS</t>
        </is>
      </c>
      <c r="B141" s="147" t="n"/>
      <c r="C141" s="106" t="n"/>
      <c r="D141" s="80" t="n"/>
      <c r="E141" s="106" t="n"/>
      <c r="F141" s="106" t="n"/>
      <c r="G141" s="106" t="n"/>
      <c r="H141" s="106" t="n"/>
      <c r="I141" s="94" t="n"/>
      <c r="J141" s="87" t="n"/>
      <c r="K141" s="87" t="n"/>
    </row>
    <row r="142" ht="13.5" customHeight="1" s="144">
      <c r="A142" s="94" t="n"/>
      <c r="B142" s="94" t="inlineStr">
        <is>
          <t>Locations</t>
        </is>
      </c>
      <c r="C142" s="94" t="inlineStr">
        <is>
          <t>Location List</t>
        </is>
      </c>
      <c r="D142" s="97" t="inlineStr">
        <is>
          <t>As a Clinic Manager, I should see my practice’s locations in All, Active and Inactive tabs. Each location shows its ID, name specialty, address, contact number and status, and I can open its details.</t>
        </is>
      </c>
      <c r="E142" s="94" t="inlineStr">
        <is>
          <t>New</t>
        </is>
      </c>
      <c r="F142" s="94" t="inlineStr">
        <is>
          <t>Must Have</t>
        </is>
      </c>
      <c r="G142" s="87" t="n">
        <v>2</v>
      </c>
      <c r="H142" s="87" t="n">
        <v>2</v>
      </c>
      <c r="I142" s="148" t="inlineStr">
        <is>
          <t>Prototype Link</t>
        </is>
      </c>
      <c r="J142" s="87" t="n"/>
      <c r="K142" s="87" t="n"/>
    </row>
    <row r="143" ht="13.5" customHeight="1" s="144">
      <c r="A143" s="94" t="n"/>
      <c r="B143" s="94" t="inlineStr">
        <is>
          <t>Locations</t>
        </is>
      </c>
      <c r="C143" s="94" t="inlineStr">
        <is>
          <t xml:space="preserve">Search, Filter </t>
        </is>
      </c>
      <c r="D143" s="97" t="inlineStr">
        <is>
          <t>As a Clinic Manager, I should be able to search, filter and page through the location list.</t>
        </is>
      </c>
      <c r="E143" s="94" t="inlineStr">
        <is>
          <t>New</t>
        </is>
      </c>
      <c r="F143" s="94" t="inlineStr">
        <is>
          <t>Must Have</t>
        </is>
      </c>
      <c r="G143" s="87" t="n">
        <v>2</v>
      </c>
      <c r="H143" s="87" t="n">
        <v>2</v>
      </c>
      <c r="I143" s="148" t="inlineStr">
        <is>
          <t>Prototype Link</t>
        </is>
      </c>
      <c r="J143" s="87" t="n"/>
      <c r="K143" s="87" t="n"/>
    </row>
    <row r="144" ht="13.5" customHeight="1" s="144">
      <c r="A144" s="94" t="n"/>
      <c r="B144" s="94" t="inlineStr">
        <is>
          <t>Add Location</t>
        </is>
      </c>
      <c r="C144" s="94" t="inlineStr">
        <is>
          <t>Add Location</t>
        </is>
      </c>
      <c r="D144" s="97" t="inlineStr">
        <is>
          <t>As a Clinic Manager, I should be able to add a location with its basic details, practice address and profile picture, and see a confirmation once it’s added.</t>
        </is>
      </c>
      <c r="E144" s="94" t="inlineStr">
        <is>
          <t>New</t>
        </is>
      </c>
      <c r="F144" s="94" t="inlineStr">
        <is>
          <t>Must Have</t>
        </is>
      </c>
      <c r="G144" s="87" t="n">
        <v>2</v>
      </c>
      <c r="H144" s="87" t="n">
        <v>2</v>
      </c>
      <c r="I144" s="148" t="inlineStr">
        <is>
          <t>Prototype Link</t>
        </is>
      </c>
      <c r="J144" s="87" t="n"/>
      <c r="K144" s="87" t="n"/>
    </row>
    <row r="145" ht="13.5" customHeight="1" s="144">
      <c r="A145" s="94" t="n"/>
      <c r="B145" s="94" t="inlineStr">
        <is>
          <t>Location Details</t>
        </is>
      </c>
      <c r="C145" s="94" t="inlineStr">
        <is>
          <t>Location Details</t>
        </is>
      </c>
      <c r="D145" s="97" t="inlineStr">
        <is>
          <t>As a Clinic Manager, I should be able to view a location’s basic details, number of providers, status, address and working hours.</t>
        </is>
      </c>
      <c r="E145" s="94" t="inlineStr">
        <is>
          <t>New</t>
        </is>
      </c>
      <c r="F145" s="94" t="inlineStr">
        <is>
          <t>Must Have</t>
        </is>
      </c>
      <c r="G145" s="87" t="n">
        <v>2</v>
      </c>
      <c r="H145" s="87" t="n">
        <v>2</v>
      </c>
      <c r="I145" s="151" t="inlineStr">
        <is>
          <t>Prototype Link</t>
        </is>
      </c>
      <c r="J145" s="87" t="n"/>
      <c r="K145" s="87" t="n"/>
    </row>
    <row r="146" ht="13.5" customHeight="1" s="144">
      <c r="A146" s="94" t="n"/>
      <c r="B146" s="94" t="inlineStr">
        <is>
          <t>Location Details</t>
        </is>
      </c>
      <c r="C146" s="94" t="inlineStr">
        <is>
          <t>Edit Location</t>
        </is>
      </c>
      <c r="D146" s="97" t="inlineStr">
        <is>
          <t>As a Clinic Manager, I should be able to edit a location’s details, address, working hours and status (Active or Inactive), and save my changes.</t>
        </is>
      </c>
      <c r="E146" s="94" t="inlineStr">
        <is>
          <t>New</t>
        </is>
      </c>
      <c r="F146" s="94" t="inlineStr">
        <is>
          <t>Must Have</t>
        </is>
      </c>
      <c r="G146" s="87" t="n">
        <v>2</v>
      </c>
      <c r="H146" s="87" t="n">
        <v>2</v>
      </c>
      <c r="I146" s="151" t="inlineStr">
        <is>
          <t>Prototype Link</t>
        </is>
      </c>
      <c r="J146" s="87" t="n"/>
      <c r="K146" s="87" t="n"/>
    </row>
    <row r="147" ht="13.5" customHeight="1" s="144">
      <c r="A147" s="104" t="inlineStr">
        <is>
          <t xml:space="preserve">CLINICAL MANAGER SETTING </t>
        </is>
      </c>
      <c r="B147" s="147" t="n"/>
      <c r="C147" s="106" t="n"/>
      <c r="D147" s="80" t="n"/>
      <c r="E147" s="106" t="n"/>
      <c r="F147" s="106" t="n"/>
      <c r="G147" s="106" t="n"/>
      <c r="H147" s="106" t="n"/>
      <c r="I147" s="87" t="n"/>
      <c r="J147" s="87" t="n"/>
      <c r="K147" s="87" t="n"/>
    </row>
    <row r="148" ht="13.5" customHeight="1" s="144">
      <c r="A148" s="94" t="n"/>
      <c r="B148" s="94" t="inlineStr">
        <is>
          <t>Provider Account</t>
        </is>
      </c>
      <c r="C148" s="94" t="inlineStr">
        <is>
          <t>Patient Flags</t>
        </is>
      </c>
      <c r="D148" s="97" t="inlineStr">
        <is>
          <t>As a Provider, I can manage patient flags (name, colour, created by, created and updated dates): search, add, edit and delete them.</t>
        </is>
      </c>
      <c r="E148" s="94" t="inlineStr">
        <is>
          <t>New</t>
        </is>
      </c>
      <c r="F148" s="94" t="inlineStr">
        <is>
          <t>Must Have</t>
        </is>
      </c>
      <c r="G148" s="87" t="n">
        <v>2</v>
      </c>
      <c r="H148" s="87" t="n">
        <v>2</v>
      </c>
      <c r="I148" s="148" t="inlineStr">
        <is>
          <t>Prototype Link</t>
        </is>
      </c>
      <c r="J148" s="87" t="n"/>
      <c r="K148" s="87" t="n"/>
    </row>
    <row r="149" ht="13.5" customHeight="1" s="144">
      <c r="A149" s="94" t="n"/>
      <c r="B149" s="94" t="inlineStr">
        <is>
          <t>Employer Accounts</t>
        </is>
      </c>
      <c r="C149" s="94" t="inlineStr">
        <is>
          <t>Employer List &amp; Add Employer</t>
        </is>
      </c>
      <c r="D149" s="97" t="inlineStr">
        <is>
          <t>As a Clinic Manager, I should see my practice’s employer accounts with their status, and add, edit or deactivate an employer.</t>
        </is>
      </c>
      <c r="E149" s="94" t="inlineStr">
        <is>
          <t>New</t>
        </is>
      </c>
      <c r="F149" s="94" t="inlineStr">
        <is>
          <t>Must Have</t>
        </is>
      </c>
      <c r="G149" s="87" t="n">
        <v>2</v>
      </c>
      <c r="H149" s="87" t="n">
        <v>2</v>
      </c>
      <c r="I149" s="148" t="inlineStr">
        <is>
          <t>Prototype Link</t>
        </is>
      </c>
      <c r="J149" s="87" t="n"/>
      <c r="K149" s="87" t="n"/>
    </row>
    <row r="150" ht="13.5" customHeight="1" s="144">
      <c r="A150" s="94" t="n"/>
      <c r="B150" s="94" t="inlineStr">
        <is>
          <t>Patient Invitation</t>
        </is>
      </c>
      <c r="C150" s="94" t="inlineStr">
        <is>
          <t>Invitation Channels</t>
        </is>
      </c>
      <c r="D150" s="97" t="inlineStr">
        <is>
          <t>As a Clinic Manager, I can choose which channels (text message, email) are used to invite patients and in what order.</t>
        </is>
      </c>
      <c r="E150" s="94" t="inlineStr">
        <is>
          <t>New</t>
        </is>
      </c>
      <c r="F150" s="94" t="inlineStr">
        <is>
          <t>Must Have</t>
        </is>
      </c>
      <c r="G150" s="87" t="n">
        <v>2</v>
      </c>
      <c r="H150" s="87" t="n">
        <v>2</v>
      </c>
      <c r="I150" s="148" t="inlineStr">
        <is>
          <t>Prototype Link</t>
        </is>
      </c>
      <c r="J150" s="87" t="n"/>
      <c r="K150" s="87" t="n"/>
    </row>
    <row r="151" ht="13.5" customHeight="1" s="144">
      <c r="A151" s="94" t="n"/>
      <c r="B151" s="94" t="inlineStr">
        <is>
          <t>Patient Invitation</t>
        </is>
      </c>
      <c r="C151" s="94" t="inlineStr">
        <is>
          <t>Invitation Reminders</t>
        </is>
      </c>
      <c r="D151" s="97" t="inlineStr">
        <is>
          <t>As a Clinic Manager, I can set the invitation and reminder schedule, with the day, channel, heading and whether a decline link is included, and add, edit or delete reminders.</t>
        </is>
      </c>
      <c r="E151" s="94" t="inlineStr">
        <is>
          <t>New</t>
        </is>
      </c>
      <c r="F151" s="94" t="inlineStr">
        <is>
          <t>Must Have</t>
        </is>
      </c>
      <c r="G151" s="87" t="n">
        <v>2</v>
      </c>
      <c r="H151" s="87" t="n">
        <v>2</v>
      </c>
      <c r="I151" s="148" t="inlineStr">
        <is>
          <t>Prototype Link</t>
        </is>
      </c>
      <c r="J151" s="87" t="n"/>
      <c r="K151" s="87" t="n"/>
    </row>
    <row r="152" ht="13.5" customHeight="1" s="144">
      <c r="A152" s="94" t="n"/>
      <c r="B152" s="94" t="inlineStr">
        <is>
          <t>Notifications</t>
        </is>
      </c>
      <c r="C152" s="94" t="inlineStr">
        <is>
          <t>Notification preferences</t>
        </is>
      </c>
      <c r="D152" s="97" t="inlineStr">
        <is>
          <t>As a physician, I can manage which events alert me (hospital events, patient record, care plan) and on which channels (push, text, email), and reset to default or save.</t>
        </is>
      </c>
      <c r="E152" s="94" t="inlineStr">
        <is>
          <t>New</t>
        </is>
      </c>
      <c r="F152" s="94" t="inlineStr">
        <is>
          <t>Must Have</t>
        </is>
      </c>
      <c r="G152" s="87" t="n">
        <v>2</v>
      </c>
      <c r="H152" s="87" t="n">
        <v>2</v>
      </c>
      <c r="I152" s="148" t="inlineStr">
        <is>
          <t>Prototype Link</t>
        </is>
      </c>
      <c r="J152" s="87" t="n"/>
      <c r="K152" s="87" t="n"/>
    </row>
    <row r="153" ht="13.5" customHeight="1" s="144">
      <c r="A153" s="94" t="n"/>
      <c r="B153" s="94" t="inlineStr">
        <is>
          <t>Security</t>
        </is>
      </c>
      <c r="C153" s="94" t="inlineStr">
        <is>
          <t>Audit Log</t>
        </is>
      </c>
      <c r="D153" s="97" t="inlineStr">
        <is>
          <t>As a Provider, I can see an audit log of actions in my practice (date and time, user and role, action, item, IP address, result), and search, filter, export and page through it.</t>
        </is>
      </c>
      <c r="E153" s="94" t="inlineStr">
        <is>
          <t>New</t>
        </is>
      </c>
      <c r="F153" s="94" t="inlineStr">
        <is>
          <t>Must Have</t>
        </is>
      </c>
      <c r="G153" s="87" t="n">
        <v>2</v>
      </c>
      <c r="H153" s="87" t="n">
        <v>2</v>
      </c>
      <c r="I153" s="148" t="inlineStr">
        <is>
          <t>Prototype Link</t>
        </is>
      </c>
      <c r="J153" s="87" t="n"/>
      <c r="K153" s="87" t="n"/>
    </row>
    <row r="154" ht="13.5" customHeight="1" s="144">
      <c r="A154" s="104" t="n"/>
      <c r="B154" s="147" t="n"/>
      <c r="C154" s="106" t="n"/>
      <c r="D154" s="80" t="n"/>
      <c r="E154" s="106" t="n"/>
      <c r="F154" s="106" t="n"/>
      <c r="G154" s="106" t="n"/>
      <c r="H154" s="106" t="n"/>
      <c r="I154" s="87" t="n"/>
      <c r="J154" s="87" t="n"/>
      <c r="K154" s="87" t="n"/>
    </row>
    <row r="155" ht="13.5" customHeight="1" s="144">
      <c r="A155" s="94" t="n"/>
      <c r="B155" s="94" t="n"/>
      <c r="C155" s="94" t="n"/>
      <c r="D155" s="97" t="n"/>
      <c r="E155" s="94" t="inlineStr">
        <is>
          <t>Retained</t>
        </is>
      </c>
      <c r="F155" s="94" t="n"/>
      <c r="G155" s="87">
        <f>SUMIF(E4:E153,E155,G4:G153)</f>
        <v/>
      </c>
      <c r="H155" s="87">
        <f>SUMIF(E4:E153,E155,H4:H153)</f>
        <v/>
      </c>
      <c r="I155" s="87" t="n"/>
      <c r="J155" s="87" t="n"/>
      <c r="K155" s="87" t="n"/>
    </row>
    <row r="156" ht="13.5" customHeight="1" s="144">
      <c r="A156" s="100" t="n"/>
      <c r="B156" s="100" t="n"/>
      <c r="C156" s="100" t="n"/>
      <c r="D156" s="101" t="n"/>
      <c r="E156" s="94" t="inlineStr">
        <is>
          <t>Modified</t>
        </is>
      </c>
      <c r="F156" s="94" t="n"/>
      <c r="G156" s="87">
        <f>SUMIF(E4:E153,E156,G4:G153)</f>
        <v/>
      </c>
      <c r="H156" s="87">
        <f>SUMIF(E4:E153,E156,H4:H153)</f>
        <v/>
      </c>
      <c r="I156" s="87" t="n"/>
      <c r="J156" s="87" t="n"/>
      <c r="K156" s="87" t="n"/>
    </row>
    <row r="157" ht="13.5" customHeight="1" s="144">
      <c r="A157" s="99" t="n"/>
      <c r="B157" s="99" t="n"/>
      <c r="C157" s="99" t="n"/>
      <c r="D157" s="19" t="n"/>
      <c r="E157" s="94" t="inlineStr">
        <is>
          <t>New</t>
        </is>
      </c>
      <c r="F157" s="94" t="n"/>
      <c r="G157" s="87">
        <f>SUMIF(E4:E155,E153,G4:G153)</f>
        <v/>
      </c>
      <c r="H157" s="87">
        <f>SUMIF(E4:E153,E157,H4:H153)</f>
        <v/>
      </c>
      <c r="I157" s="87" t="n"/>
      <c r="J157" s="87" t="n"/>
      <c r="K157" s="87" t="n"/>
    </row>
    <row r="158" ht="13.5" customHeight="1" s="144">
      <c r="A158" s="99" t="n"/>
      <c r="B158" s="99" t="n"/>
      <c r="C158" s="99" t="n"/>
      <c r="D158" s="19" t="n"/>
      <c r="E158" s="94" t="inlineStr">
        <is>
          <t>Removed</t>
        </is>
      </c>
      <c r="F158" s="94" t="n"/>
      <c r="G158" s="87">
        <f>SUMIF(E4:E153,E158,G4:G153)</f>
        <v/>
      </c>
      <c r="H158" s="87">
        <f>SUMIF(E4:E153,E158,H4:H153)</f>
        <v/>
      </c>
      <c r="I158" s="87" t="n"/>
      <c r="J158" s="87" t="n"/>
      <c r="K158" s="87" t="n"/>
    </row>
    <row r="159" ht="13.5" customHeight="1" s="144">
      <c r="A159" s="94" t="n"/>
      <c r="B159" s="94" t="n"/>
      <c r="C159" s="94" t="n"/>
      <c r="D159" s="97" t="n"/>
      <c r="E159" s="102" t="inlineStr">
        <is>
          <t>Total</t>
        </is>
      </c>
      <c r="F159" s="94" t="n"/>
      <c r="G159" s="137">
        <f>SUM(G155:G157)</f>
        <v/>
      </c>
      <c r="H159" s="137">
        <f>SUM(H155:H157)</f>
        <v/>
      </c>
      <c r="I159" s="87" t="n"/>
      <c r="J159" s="87" t="n"/>
      <c r="K159" s="87" t="n"/>
    </row>
    <row r="160" ht="13.5" customHeight="1" s="144">
      <c r="A160" s="94" t="n"/>
      <c r="B160" s="94" t="n"/>
      <c r="C160" s="94" t="n"/>
      <c r="D160" s="97" t="n"/>
      <c r="E160" s="94" t="n"/>
      <c r="F160" s="94" t="n"/>
      <c r="G160" s="87" t="n"/>
      <c r="H160" s="87" t="n"/>
      <c r="I160" s="87" t="n"/>
      <c r="J160" s="87" t="n"/>
      <c r="K160" s="87" t="n"/>
    </row>
    <row r="161" ht="13.5" customHeight="1" s="144">
      <c r="A161" s="94" t="n"/>
      <c r="B161" s="94" t="n"/>
      <c r="C161" s="94" t="n"/>
      <c r="D161" s="97" t="n"/>
      <c r="E161" s="94" t="n"/>
      <c r="F161" s="94" t="n"/>
      <c r="G161" s="87" t="n"/>
      <c r="H161" s="87" t="n"/>
      <c r="I161" s="87" t="n"/>
      <c r="J161" s="87" t="n"/>
      <c r="K161" s="87" t="n"/>
    </row>
    <row r="162" ht="13.5" customHeight="1" s="144">
      <c r="A162" s="94" t="n"/>
      <c r="B162" s="94" t="n"/>
      <c r="C162" s="94" t="n"/>
      <c r="D162" s="97" t="n"/>
      <c r="E162" s="94" t="n"/>
      <c r="F162" s="94" t="n"/>
      <c r="G162" s="87" t="n"/>
      <c r="H162" s="87" t="n"/>
      <c r="I162" s="87" t="n"/>
      <c r="J162" s="87" t="n"/>
      <c r="K162" s="87" t="n"/>
    </row>
    <row r="163" ht="13.5" customHeight="1" s="144">
      <c r="A163" s="94" t="n"/>
      <c r="B163" s="94" t="n"/>
      <c r="C163" s="94" t="n"/>
      <c r="D163" s="97" t="n"/>
      <c r="E163" s="94" t="n"/>
      <c r="F163" s="94" t="n"/>
      <c r="G163" s="87" t="n"/>
      <c r="H163" s="87" t="n"/>
      <c r="I163" s="87" t="n"/>
      <c r="J163" s="87" t="n"/>
      <c r="K163" s="87" t="n"/>
    </row>
    <row r="164" ht="13.5" customHeight="1" s="144">
      <c r="A164" s="94" t="n"/>
      <c r="B164" s="94" t="n"/>
      <c r="C164" s="94" t="n"/>
      <c r="D164" s="97" t="n"/>
      <c r="E164" s="94" t="n"/>
      <c r="F164" s="94" t="n"/>
      <c r="G164" s="87" t="n"/>
      <c r="H164" s="87" t="n"/>
      <c r="I164" s="87" t="n"/>
      <c r="J164" s="87" t="n"/>
      <c r="K164" s="87" t="n"/>
    </row>
    <row r="165" ht="13.5" customHeight="1" s="144">
      <c r="A165" s="94" t="n"/>
      <c r="B165" s="94" t="n"/>
      <c r="C165" s="94" t="n"/>
      <c r="D165" s="97" t="n"/>
      <c r="E165" s="94" t="n"/>
      <c r="F165" s="94" t="n"/>
      <c r="G165" s="87" t="n"/>
      <c r="H165" s="87" t="n"/>
      <c r="I165" s="87" t="n"/>
      <c r="J165" s="87" t="n"/>
      <c r="K165" s="87" t="n"/>
    </row>
    <row r="166" ht="13.5" customHeight="1" s="144">
      <c r="A166" s="94" t="n"/>
      <c r="B166" s="94" t="n"/>
      <c r="C166" s="94" t="n"/>
      <c r="D166" s="97" t="n"/>
      <c r="E166" s="94" t="n"/>
      <c r="F166" s="94" t="n"/>
      <c r="G166" s="87" t="n"/>
      <c r="H166" s="87" t="n"/>
      <c r="I166" s="87" t="n"/>
      <c r="J166" s="87" t="n"/>
      <c r="K166" s="87" t="n"/>
    </row>
  </sheetData>
  <autoFilter ref="$A$2:$H$159"/>
  <mergeCells count="17">
    <mergeCell ref="A20:B20"/>
    <mergeCell ref="A147:B147"/>
    <mergeCell ref="A104:B104"/>
    <mergeCell ref="A60:B60"/>
    <mergeCell ref="A71:B71"/>
    <mergeCell ref="A107:B107"/>
    <mergeCell ref="A10:B10"/>
    <mergeCell ref="A45:B45"/>
    <mergeCell ref="A141:B141"/>
    <mergeCell ref="A118:B118"/>
    <mergeCell ref="A40:B40"/>
    <mergeCell ref="A110:B110"/>
    <mergeCell ref="A132:B132"/>
    <mergeCell ref="A3:B3"/>
    <mergeCell ref="A154:B154"/>
    <mergeCell ref="A55:B55"/>
    <mergeCell ref="A34:B34"/>
  </mergeCells>
  <dataValidations count="3">
    <dataValidation sqref="F4:F9 F11:F19 F21 F24:F33 F72 F77" showDropDown="0" showInputMessage="0" showErrorMessage="1" allowBlank="1" type="list">
      <formula1>"Yes,No,NTC"</formula1>
    </dataValidation>
    <dataValidation sqref="F22:F23 F35:F39 F41:F44 F46:F54 F56:F59 F61:F70 F73:F76 F78:F103 F105:F106 F108:F109 F111:F117 F119:F125 F127:F131 F133:F140 F142:F146 F148:F153" showDropDown="0" showInputMessage="0" showErrorMessage="1" allowBlank="1" type="list">
      <formula1>"Must Have,Could Have,Nice To have"</formula1>
    </dataValidation>
    <dataValidation sqref="E4:E9 E11:E19 E21:E33 E35:E39 E41:E44 E46:E54 E56:E59 E61:E70 E72:E103 E105:E106 E108:E109 E111:E117 E119:E125 E127:E131 E133:E140 E142:E146 E148:E153 E155:E158" showDropDown="0" showInputMessage="0" showErrorMessage="1" allowBlank="1" type="list">
      <formula1>"Retained,Removed,Modified,New,TBD,Covered,Status,Feature list"</formula1>
    </dataValidation>
  </dataValidations>
  <hyperlinks>
    <hyperlink xmlns:r="http://schemas.openxmlformats.org/officeDocument/2006/relationships" ref="A2"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7" r:id="rId5"/>
    <hyperlink xmlns:r="http://schemas.openxmlformats.org/officeDocument/2006/relationships" ref="I8" r:id="rId6"/>
    <hyperlink xmlns:r="http://schemas.openxmlformats.org/officeDocument/2006/relationships" ref="I9" r:id="rId7"/>
    <hyperlink xmlns:r="http://schemas.openxmlformats.org/officeDocument/2006/relationships" ref="I11" r:id="rId8"/>
    <hyperlink xmlns:r="http://schemas.openxmlformats.org/officeDocument/2006/relationships" ref="I14" r:id="rId9"/>
    <hyperlink xmlns:r="http://schemas.openxmlformats.org/officeDocument/2006/relationships" ref="I17" r:id="rId10"/>
    <hyperlink xmlns:r="http://schemas.openxmlformats.org/officeDocument/2006/relationships" ref="I18" r:id="rId11"/>
    <hyperlink xmlns:r="http://schemas.openxmlformats.org/officeDocument/2006/relationships" ref="I19" r:id="rId12"/>
    <hyperlink xmlns:r="http://schemas.openxmlformats.org/officeDocument/2006/relationships" ref="I21" r:id="rId13"/>
    <hyperlink xmlns:r="http://schemas.openxmlformats.org/officeDocument/2006/relationships" ref="I22" r:id="rId14"/>
    <hyperlink xmlns:r="http://schemas.openxmlformats.org/officeDocument/2006/relationships" ref="I23" r:id="rId15"/>
    <hyperlink xmlns:r="http://schemas.openxmlformats.org/officeDocument/2006/relationships" ref="I24" r:id="rId16"/>
    <hyperlink xmlns:r="http://schemas.openxmlformats.org/officeDocument/2006/relationships" ref="I25" r:id="rId17"/>
    <hyperlink xmlns:r="http://schemas.openxmlformats.org/officeDocument/2006/relationships" ref="I26" r:id="rId18"/>
    <hyperlink xmlns:r="http://schemas.openxmlformats.org/officeDocument/2006/relationships" ref="I27" r:id="rId19"/>
    <hyperlink xmlns:r="http://schemas.openxmlformats.org/officeDocument/2006/relationships" ref="I28" r:id="rId20"/>
    <hyperlink xmlns:r="http://schemas.openxmlformats.org/officeDocument/2006/relationships" ref="I29" r:id="rId21"/>
    <hyperlink xmlns:r="http://schemas.openxmlformats.org/officeDocument/2006/relationships" ref="I30" r:id="rId22"/>
    <hyperlink xmlns:r="http://schemas.openxmlformats.org/officeDocument/2006/relationships" ref="I32" r:id="rId23"/>
    <hyperlink xmlns:r="http://schemas.openxmlformats.org/officeDocument/2006/relationships" ref="I33" r:id="rId24"/>
    <hyperlink xmlns:r="http://schemas.openxmlformats.org/officeDocument/2006/relationships" ref="I35" r:id="rId25"/>
    <hyperlink xmlns:r="http://schemas.openxmlformats.org/officeDocument/2006/relationships" ref="I36" r:id="rId26"/>
    <hyperlink xmlns:r="http://schemas.openxmlformats.org/officeDocument/2006/relationships" ref="I37" r:id="rId27"/>
    <hyperlink xmlns:r="http://schemas.openxmlformats.org/officeDocument/2006/relationships" ref="I38" r:id="rId28"/>
    <hyperlink xmlns:r="http://schemas.openxmlformats.org/officeDocument/2006/relationships" ref="I39" r:id="rId29"/>
    <hyperlink xmlns:r="http://schemas.openxmlformats.org/officeDocument/2006/relationships" ref="I41" r:id="rId30"/>
    <hyperlink xmlns:r="http://schemas.openxmlformats.org/officeDocument/2006/relationships" ref="I42" r:id="rId31"/>
    <hyperlink xmlns:r="http://schemas.openxmlformats.org/officeDocument/2006/relationships" ref="I43" r:id="rId32"/>
    <hyperlink xmlns:r="http://schemas.openxmlformats.org/officeDocument/2006/relationships" ref="I44" r:id="rId33"/>
    <hyperlink xmlns:r="http://schemas.openxmlformats.org/officeDocument/2006/relationships" ref="I46" r:id="rId34"/>
    <hyperlink xmlns:r="http://schemas.openxmlformats.org/officeDocument/2006/relationships" ref="I47" r:id="rId35"/>
    <hyperlink xmlns:r="http://schemas.openxmlformats.org/officeDocument/2006/relationships" ref="I48" r:id="rId36"/>
    <hyperlink xmlns:r="http://schemas.openxmlformats.org/officeDocument/2006/relationships" ref="I49" r:id="rId37"/>
    <hyperlink xmlns:r="http://schemas.openxmlformats.org/officeDocument/2006/relationships" ref="I50" r:id="rId38"/>
    <hyperlink xmlns:r="http://schemas.openxmlformats.org/officeDocument/2006/relationships" ref="I51" r:id="rId39"/>
    <hyperlink xmlns:r="http://schemas.openxmlformats.org/officeDocument/2006/relationships" ref="I52" r:id="rId40"/>
    <hyperlink xmlns:r="http://schemas.openxmlformats.org/officeDocument/2006/relationships" ref="I53" r:id="rId41"/>
    <hyperlink xmlns:r="http://schemas.openxmlformats.org/officeDocument/2006/relationships" ref="I54" r:id="rId42"/>
    <hyperlink xmlns:r="http://schemas.openxmlformats.org/officeDocument/2006/relationships" ref="I61" r:id="rId43"/>
    <hyperlink xmlns:r="http://schemas.openxmlformats.org/officeDocument/2006/relationships" ref="I62" r:id="rId44"/>
    <hyperlink xmlns:r="http://schemas.openxmlformats.org/officeDocument/2006/relationships" ref="I63" r:id="rId45"/>
    <hyperlink xmlns:r="http://schemas.openxmlformats.org/officeDocument/2006/relationships" ref="I69" r:id="rId46"/>
    <hyperlink xmlns:r="http://schemas.openxmlformats.org/officeDocument/2006/relationships" ref="I70" r:id="rId47"/>
    <hyperlink xmlns:r="http://schemas.openxmlformats.org/officeDocument/2006/relationships" ref="I72" r:id="rId48"/>
    <hyperlink xmlns:r="http://schemas.openxmlformats.org/officeDocument/2006/relationships" ref="I73" r:id="rId49"/>
    <hyperlink xmlns:r="http://schemas.openxmlformats.org/officeDocument/2006/relationships" ref="I76" r:id="rId50"/>
    <hyperlink xmlns:r="http://schemas.openxmlformats.org/officeDocument/2006/relationships" ref="I77" r:id="rId51"/>
    <hyperlink xmlns:r="http://schemas.openxmlformats.org/officeDocument/2006/relationships" ref="I78" r:id="rId52"/>
    <hyperlink xmlns:r="http://schemas.openxmlformats.org/officeDocument/2006/relationships" ref="I79" r:id="rId53"/>
    <hyperlink xmlns:r="http://schemas.openxmlformats.org/officeDocument/2006/relationships" ref="I80" r:id="rId54"/>
    <hyperlink xmlns:r="http://schemas.openxmlformats.org/officeDocument/2006/relationships" ref="I81" r:id="rId55"/>
    <hyperlink xmlns:r="http://schemas.openxmlformats.org/officeDocument/2006/relationships" ref="I82" r:id="rId56"/>
    <hyperlink xmlns:r="http://schemas.openxmlformats.org/officeDocument/2006/relationships" ref="I83" r:id="rId57"/>
    <hyperlink xmlns:r="http://schemas.openxmlformats.org/officeDocument/2006/relationships" ref="I84" r:id="rId58"/>
    <hyperlink xmlns:r="http://schemas.openxmlformats.org/officeDocument/2006/relationships" ref="I85" r:id="rId59"/>
    <hyperlink xmlns:r="http://schemas.openxmlformats.org/officeDocument/2006/relationships" ref="I86" r:id="rId60"/>
    <hyperlink xmlns:r="http://schemas.openxmlformats.org/officeDocument/2006/relationships" ref="I87" r:id="rId61"/>
    <hyperlink xmlns:r="http://schemas.openxmlformats.org/officeDocument/2006/relationships" ref="I88" r:id="rId62"/>
    <hyperlink xmlns:r="http://schemas.openxmlformats.org/officeDocument/2006/relationships" ref="I89" r:id="rId63"/>
    <hyperlink xmlns:r="http://schemas.openxmlformats.org/officeDocument/2006/relationships" ref="I90" r:id="rId64"/>
    <hyperlink xmlns:r="http://schemas.openxmlformats.org/officeDocument/2006/relationships" ref="I91" r:id="rId65"/>
    <hyperlink xmlns:r="http://schemas.openxmlformats.org/officeDocument/2006/relationships" ref="I92" r:id="rId66"/>
    <hyperlink xmlns:r="http://schemas.openxmlformats.org/officeDocument/2006/relationships" ref="I93" r:id="rId67"/>
    <hyperlink xmlns:r="http://schemas.openxmlformats.org/officeDocument/2006/relationships" ref="I94" r:id="rId68"/>
    <hyperlink xmlns:r="http://schemas.openxmlformats.org/officeDocument/2006/relationships" ref="I95" r:id="rId69"/>
    <hyperlink xmlns:r="http://schemas.openxmlformats.org/officeDocument/2006/relationships" ref="I96" r:id="rId70"/>
    <hyperlink xmlns:r="http://schemas.openxmlformats.org/officeDocument/2006/relationships" ref="I97" r:id="rId71"/>
    <hyperlink xmlns:r="http://schemas.openxmlformats.org/officeDocument/2006/relationships" ref="I98" r:id="rId72"/>
    <hyperlink xmlns:r="http://schemas.openxmlformats.org/officeDocument/2006/relationships" ref="I99" r:id="rId73"/>
    <hyperlink xmlns:r="http://schemas.openxmlformats.org/officeDocument/2006/relationships" ref="I100" r:id="rId74"/>
    <hyperlink xmlns:r="http://schemas.openxmlformats.org/officeDocument/2006/relationships" ref="I101" r:id="rId75"/>
    <hyperlink xmlns:r="http://schemas.openxmlformats.org/officeDocument/2006/relationships" ref="I102" r:id="rId76"/>
    <hyperlink xmlns:r="http://schemas.openxmlformats.org/officeDocument/2006/relationships" ref="I103" r:id="rId77"/>
    <hyperlink xmlns:r="http://schemas.openxmlformats.org/officeDocument/2006/relationships" ref="I113" r:id="rId78"/>
    <hyperlink xmlns:r="http://schemas.openxmlformats.org/officeDocument/2006/relationships" ref="I114" r:id="rId79"/>
    <hyperlink xmlns:r="http://schemas.openxmlformats.org/officeDocument/2006/relationships" ref="I116" r:id="rId80"/>
    <hyperlink xmlns:r="http://schemas.openxmlformats.org/officeDocument/2006/relationships" ref="I117" r:id="rId81"/>
    <hyperlink xmlns:r="http://schemas.openxmlformats.org/officeDocument/2006/relationships" ref="I120" r:id="rId82"/>
    <hyperlink xmlns:r="http://schemas.openxmlformats.org/officeDocument/2006/relationships" ref="I122" r:id="rId83"/>
    <hyperlink xmlns:r="http://schemas.openxmlformats.org/officeDocument/2006/relationships" ref="I123" r:id="rId84"/>
    <hyperlink xmlns:r="http://schemas.openxmlformats.org/officeDocument/2006/relationships" ref="I124" r:id="rId85"/>
    <hyperlink xmlns:r="http://schemas.openxmlformats.org/officeDocument/2006/relationships" ref="I125" r:id="rId86"/>
    <hyperlink xmlns:r="http://schemas.openxmlformats.org/officeDocument/2006/relationships" ref="I127" r:id="rId87"/>
    <hyperlink xmlns:r="http://schemas.openxmlformats.org/officeDocument/2006/relationships" ref="I128" r:id="rId88"/>
    <hyperlink xmlns:r="http://schemas.openxmlformats.org/officeDocument/2006/relationships" ref="I129" r:id="rId89"/>
    <hyperlink xmlns:r="http://schemas.openxmlformats.org/officeDocument/2006/relationships" ref="I130" r:id="rId90"/>
    <hyperlink xmlns:r="http://schemas.openxmlformats.org/officeDocument/2006/relationships" ref="I131" r:id="rId91"/>
    <hyperlink xmlns:r="http://schemas.openxmlformats.org/officeDocument/2006/relationships" ref="I133" r:id="rId92"/>
    <hyperlink xmlns:r="http://schemas.openxmlformats.org/officeDocument/2006/relationships" ref="I134" r:id="rId93"/>
    <hyperlink xmlns:r="http://schemas.openxmlformats.org/officeDocument/2006/relationships" ref="I135" r:id="rId94"/>
    <hyperlink xmlns:r="http://schemas.openxmlformats.org/officeDocument/2006/relationships" ref="I136" r:id="rId95"/>
    <hyperlink xmlns:r="http://schemas.openxmlformats.org/officeDocument/2006/relationships" ref="I137" r:id="rId96"/>
    <hyperlink xmlns:r="http://schemas.openxmlformats.org/officeDocument/2006/relationships" ref="I138" r:id="rId97"/>
    <hyperlink xmlns:r="http://schemas.openxmlformats.org/officeDocument/2006/relationships" ref="I139" r:id="rId98"/>
    <hyperlink xmlns:r="http://schemas.openxmlformats.org/officeDocument/2006/relationships" ref="I140" r:id="rId99"/>
    <hyperlink xmlns:r="http://schemas.openxmlformats.org/officeDocument/2006/relationships" ref="I142" r:id="rId100"/>
    <hyperlink xmlns:r="http://schemas.openxmlformats.org/officeDocument/2006/relationships" ref="I143" r:id="rId101"/>
    <hyperlink xmlns:r="http://schemas.openxmlformats.org/officeDocument/2006/relationships" ref="I144" r:id="rId102"/>
    <hyperlink xmlns:r="http://schemas.openxmlformats.org/officeDocument/2006/relationships" ref="I145" r:id="rId103"/>
    <hyperlink xmlns:r="http://schemas.openxmlformats.org/officeDocument/2006/relationships" ref="I146" r:id="rId104"/>
    <hyperlink xmlns:r="http://schemas.openxmlformats.org/officeDocument/2006/relationships" ref="I148" r:id="rId105"/>
    <hyperlink xmlns:r="http://schemas.openxmlformats.org/officeDocument/2006/relationships" ref="I149" r:id="rId106"/>
    <hyperlink xmlns:r="http://schemas.openxmlformats.org/officeDocument/2006/relationships" ref="I150" r:id="rId107"/>
    <hyperlink xmlns:r="http://schemas.openxmlformats.org/officeDocument/2006/relationships" ref="I151" r:id="rId108"/>
    <hyperlink xmlns:r="http://schemas.openxmlformats.org/officeDocument/2006/relationships" ref="I152" r:id="rId109"/>
    <hyperlink xmlns:r="http://schemas.openxmlformats.org/officeDocument/2006/relationships" ref="I153" r:id="rId110"/>
  </hyperlinks>
  <pageMargins left="1" right="1" top="0.75" bottom="0.75" header="0" footer="0"/>
  <pageSetup orientation="landscape" paperSize="9"/>
</worksheet>
</file>

<file path=xl/worksheets/sheet6.xml><?xml version="1.0" encoding="utf-8"?>
<worksheet xmlns="http://schemas.openxmlformats.org/spreadsheetml/2006/main">
  <sheetPr>
    <outlinePr summaryBelow="1" summaryRight="1"/>
    <pageSetUpPr/>
  </sheetPr>
  <dimension ref="A1:L161"/>
  <sheetViews>
    <sheetView showGridLines="0"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hidden="1" width="17.71" customWidth="1" style="144" min="1" max="1"/>
    <col width="32.29" customWidth="1" style="144" min="2" max="2"/>
    <col width="26.71" customWidth="1" style="144" min="3" max="3"/>
    <col width="90" customWidth="1" style="144" min="4" max="4"/>
    <col width="22.43" customWidth="1" style="144" min="5" max="5"/>
    <col width="13.14" customWidth="1" style="144" min="6" max="6"/>
    <col width="14.43" customWidth="1" style="144" min="7" max="7"/>
    <col width="15.71" customWidth="1" style="144" min="8" max="8"/>
    <col hidden="1" width="13.14" customWidth="1" style="144" min="9" max="9"/>
    <col hidden="1" width="11" customWidth="1" style="144" min="10" max="10"/>
    <col width="34.43" customWidth="1" style="144" min="11" max="11"/>
    <col width="38.71" customWidth="1" style="144" min="12" max="12"/>
  </cols>
  <sheetData>
    <row r="1" ht="15" customHeight="1" s="144">
      <c r="A1" s="64" t="n"/>
      <c r="B1" s="64" t="n"/>
      <c r="C1" s="64" t="n"/>
      <c r="D1" s="64" t="n"/>
      <c r="E1" s="64" t="n"/>
      <c r="F1" s="64" t="n"/>
      <c r="G1" s="64">
        <f>SUM(G3:G151)</f>
        <v/>
      </c>
      <c r="H1" s="64">
        <f>SUM(H3:H151)</f>
        <v/>
      </c>
      <c r="I1" s="64" t="n"/>
      <c r="J1" s="64" t="n"/>
      <c r="K1" s="64" t="n"/>
      <c r="L1" s="64" t="n"/>
    </row>
    <row r="2" ht="15" customHeight="1" s="144">
      <c r="A2" s="27" t="inlineStr">
        <is>
          <t>SR.NO</t>
        </is>
      </c>
      <c r="B2" s="65" t="inlineStr">
        <is>
          <t>MODULE</t>
        </is>
      </c>
      <c r="C2" s="65" t="inlineStr">
        <is>
          <t>CAPABILITY</t>
        </is>
      </c>
      <c r="D2" s="65" t="n"/>
      <c r="E2" s="65" t="inlineStr">
        <is>
          <t>STATUS</t>
        </is>
      </c>
      <c r="F2" s="65" t="inlineStr">
        <is>
          <t>REQUIRED</t>
        </is>
      </c>
      <c r="G2" s="65" t="inlineStr">
        <is>
          <t>FRONT END</t>
        </is>
      </c>
      <c r="H2" s="65" t="inlineStr">
        <is>
          <t>BACK END</t>
        </is>
      </c>
      <c r="I2" s="65" t="inlineStr">
        <is>
          <t>Frontend</t>
        </is>
      </c>
      <c r="J2" s="65" t="inlineStr">
        <is>
          <t>Backend</t>
        </is>
      </c>
      <c r="K2" s="65" t="inlineStr">
        <is>
          <t>DESIGN LINK</t>
        </is>
      </c>
      <c r="L2" s="65" t="inlineStr">
        <is>
          <t>COMMENT</t>
        </is>
      </c>
    </row>
    <row r="3" ht="15" customHeight="1" s="144">
      <c r="A3" s="152" t="inlineStr">
        <is>
          <t>ONBOARDING &amp; CONSENT</t>
        </is>
      </c>
      <c r="B3" s="147" t="n"/>
      <c r="C3" s="106" t="n"/>
      <c r="D3" s="80" t="n"/>
      <c r="E3" s="106" t="n"/>
      <c r="F3" s="106" t="n"/>
      <c r="G3" s="106" t="n"/>
      <c r="H3" s="106" t="n"/>
      <c r="I3" s="106" t="n"/>
      <c r="J3" s="106" t="n"/>
      <c r="K3" s="106" t="n"/>
      <c r="L3" s="106" t="n"/>
    </row>
    <row r="4" ht="15" customHeight="1" s="144">
      <c r="A4" s="94" t="n"/>
      <c r="B4" s="94" t="inlineStr">
        <is>
          <t>Onboarding &amp; consent</t>
        </is>
      </c>
      <c r="C4" s="94" t="inlineStr">
        <is>
          <t>Register via invite</t>
        </is>
      </c>
      <c r="D4" s="97" t="inlineStr">
        <is>
          <t>As a patient, I can register through the secure invite link.</t>
        </is>
      </c>
      <c r="E4" s="94" t="inlineStr">
        <is>
          <t>Retained</t>
        </is>
      </c>
      <c r="F4" s="94" t="inlineStr">
        <is>
          <t>Yes</t>
        </is>
      </c>
      <c r="G4" s="87" t="n">
        <v>2</v>
      </c>
      <c r="H4" s="87" t="n">
        <v>4</v>
      </c>
      <c r="I4" s="87" t="n">
        <v>4</v>
      </c>
      <c r="J4" s="87" t="n">
        <v>6</v>
      </c>
      <c r="K4" s="148" t="inlineStr">
        <is>
          <t>Prototype Link</t>
        </is>
      </c>
      <c r="L4" s="87" t="n"/>
    </row>
    <row r="5" ht="15" customHeight="1" s="144">
      <c r="A5" s="94" t="n"/>
      <c r="B5" s="94" t="inlineStr">
        <is>
          <t>Patient Web – Onboarding &amp; Consent</t>
        </is>
      </c>
      <c r="C5" s="94" t="inlineStr">
        <is>
          <t>Invitation Email</t>
        </is>
      </c>
      <c r="D5" s="97" t="inlineStr">
        <is>
          <t>As a Patient, I should receive an invitation email from my practice with a one-time activation code and an “Activate account” button. The code works once and expires in 48 hours.</t>
        </is>
      </c>
      <c r="E5" s="94" t="inlineStr">
        <is>
          <t>New</t>
        </is>
      </c>
      <c r="F5" s="94" t="inlineStr">
        <is>
          <t>Yes</t>
        </is>
      </c>
      <c r="G5" s="87" t="n">
        <v>4</v>
      </c>
      <c r="H5" s="87" t="n">
        <v>4</v>
      </c>
      <c r="I5" s="87" t="n">
        <v>2</v>
      </c>
      <c r="J5" s="87" t="n">
        <v>4</v>
      </c>
      <c r="K5" s="94" t="inlineStr">
        <is>
          <t>Not Req</t>
        </is>
      </c>
      <c r="L5" s="87" t="n"/>
    </row>
    <row r="6" ht="15" customHeight="1" s="144">
      <c r="A6" s="94" t="n"/>
      <c r="B6" s="94" t="inlineStr">
        <is>
          <t>Patient Web – Onboarding &amp; Consent</t>
        </is>
      </c>
      <c r="C6" s="94" t="inlineStr">
        <is>
          <t>Activate Account</t>
        </is>
      </c>
      <c r="D6" s="97" t="inlineStr">
        <is>
          <t>As a Patient, I should be able to open the invite link in my system and activate my account by entering my email, date of birth and the 6-digit code from my invitation.</t>
        </is>
      </c>
      <c r="E6" s="94" t="inlineStr">
        <is>
          <t>New</t>
        </is>
      </c>
      <c r="F6" s="94" t="inlineStr">
        <is>
          <t>Yes</t>
        </is>
      </c>
      <c r="G6" s="87" t="n">
        <v>4</v>
      </c>
      <c r="H6" s="87" t="n">
        <v>4</v>
      </c>
      <c r="I6" s="87" t="n">
        <v>2</v>
      </c>
      <c r="J6" s="87" t="n">
        <v>4</v>
      </c>
      <c r="K6" s="148" t="inlineStr">
        <is>
          <t>Prototype Link</t>
        </is>
      </c>
      <c r="L6" s="87" t="n"/>
    </row>
    <row r="7" ht="15" customHeight="1" s="144">
      <c r="A7" s="94" t="n"/>
      <c r="B7" s="94" t="inlineStr">
        <is>
          <t>Patient Mobile – Onboarding &amp; Consent</t>
        </is>
      </c>
      <c r="C7" s="94" t="inlineStr">
        <is>
          <t>Download App</t>
        </is>
      </c>
      <c r="D7" s="97" t="inlineStr">
        <is>
          <t>As a Patient, I should be able to download the Inlay Health app from the App Store or Google Play using the links in my invitation email.</t>
        </is>
      </c>
      <c r="E7" s="94" t="inlineStr">
        <is>
          <t>New</t>
        </is>
      </c>
      <c r="F7" s="94" t="inlineStr">
        <is>
          <t>Yes</t>
        </is>
      </c>
      <c r="G7" s="87" t="n">
        <v>0</v>
      </c>
      <c r="H7" s="87" t="n">
        <v>2</v>
      </c>
      <c r="I7" s="106" t="n"/>
      <c r="J7" s="106" t="n"/>
      <c r="K7" s="94" t="inlineStr">
        <is>
          <t>Not Req</t>
        </is>
      </c>
      <c r="L7" s="87" t="n"/>
    </row>
    <row r="8" ht="15" customHeight="1" s="144">
      <c r="A8" s="94" t="n"/>
      <c r="B8" s="94" t="inlineStr">
        <is>
          <t>Onboarding &amp; consent</t>
        </is>
      </c>
      <c r="C8" s="94" t="inlineStr">
        <is>
          <t>Identity verification</t>
        </is>
      </c>
      <c r="D8" s="97" t="inlineStr">
        <is>
          <t>As a patient, I can verify my identity at onboarding.</t>
        </is>
      </c>
      <c r="E8" s="94" t="inlineStr">
        <is>
          <t>Retained</t>
        </is>
      </c>
      <c r="F8" s="94" t="inlineStr">
        <is>
          <t>Yes</t>
        </is>
      </c>
      <c r="G8" s="87" t="n">
        <v>2</v>
      </c>
      <c r="H8" s="87" t="n">
        <v>4</v>
      </c>
      <c r="I8" s="87" t="n">
        <v>6</v>
      </c>
      <c r="J8" s="87" t="n">
        <v>6</v>
      </c>
      <c r="K8" s="148" t="inlineStr">
        <is>
          <t>Prototype Link</t>
        </is>
      </c>
      <c r="L8" s="87" t="n"/>
    </row>
    <row r="9" ht="15" customHeight="1" s="144">
      <c r="A9" s="94" t="n"/>
      <c r="B9" s="94" t="inlineStr">
        <is>
          <t>Onboarding &amp; consent</t>
        </is>
      </c>
      <c r="C9" s="94" t="inlineStr">
        <is>
          <t>2FA / login</t>
        </is>
      </c>
      <c r="D9" s="97" t="inlineStr">
        <is>
          <t>As a patient, I can log in with 2FA and biometrics.</t>
        </is>
      </c>
      <c r="E9" s="94" t="inlineStr">
        <is>
          <t>Retained</t>
        </is>
      </c>
      <c r="F9" s="94" t="inlineStr">
        <is>
          <t>Yes</t>
        </is>
      </c>
      <c r="G9" s="87" t="n">
        <v>6</v>
      </c>
      <c r="H9" s="87" t="n">
        <v>4</v>
      </c>
      <c r="I9" s="87" t="n">
        <v>6</v>
      </c>
      <c r="J9" s="87" t="n">
        <v>6</v>
      </c>
      <c r="K9" s="148" t="inlineStr">
        <is>
          <t>Prototype Link</t>
        </is>
      </c>
      <c r="L9" s="87" t="n"/>
    </row>
    <row r="10" ht="15" customHeight="1" s="144">
      <c r="A10" s="94" t="n"/>
      <c r="B10" s="94" t="inlineStr">
        <is>
          <t>Patient Web – Onboarding &amp; Consent</t>
        </is>
      </c>
      <c r="C10" s="94" t="inlineStr">
        <is>
          <t>Create Password</t>
        </is>
      </c>
      <c r="D10" s="97" t="inlineStr">
        <is>
          <t>As a Patient, I should be able to create my password by entering and confirming it, with an option to show or hide what I type.</t>
        </is>
      </c>
      <c r="E10" s="94" t="inlineStr">
        <is>
          <t>Retained</t>
        </is>
      </c>
      <c r="F10" s="94" t="inlineStr">
        <is>
          <t>Yes</t>
        </is>
      </c>
      <c r="G10" s="87" t="n"/>
      <c r="H10" s="87" t="n">
        <v>2</v>
      </c>
      <c r="I10" s="87" t="n">
        <v>6</v>
      </c>
      <c r="J10" s="87" t="n">
        <v>6</v>
      </c>
      <c r="K10" s="148" t="inlineStr">
        <is>
          <t>Prototype Link</t>
        </is>
      </c>
      <c r="L10" s="87" t="n"/>
    </row>
    <row r="11" ht="15" customHeight="1" s="144">
      <c r="A11" s="99" t="n"/>
      <c r="B11" s="99" t="inlineStr">
        <is>
          <t>Patient Mobile – Onboarding</t>
        </is>
      </c>
      <c r="C11" s="99" t="inlineStr">
        <is>
          <t>First-Time Setup</t>
        </is>
      </c>
      <c r="D11" s="19" t="inlineStr">
        <is>
          <t>As a Patient signing in for the first time, I should be guided step by step to confirm my details, connect my health records and choose how Inlay contacts me about my care.</t>
        </is>
      </c>
      <c r="E11" s="99" t="inlineStr">
        <is>
          <t>New</t>
        </is>
      </c>
      <c r="F11" s="94" t="inlineStr">
        <is>
          <t>Yes</t>
        </is>
      </c>
      <c r="G11" s="87" t="n">
        <v>10</v>
      </c>
      <c r="H11" s="87" t="n">
        <v>8</v>
      </c>
      <c r="I11" s="87" t="n"/>
      <c r="J11" s="87" t="n"/>
      <c r="K11" s="148" t="inlineStr">
        <is>
          <t>Prototype Link</t>
        </is>
      </c>
      <c r="L11" s="87" t="n"/>
    </row>
    <row r="12" ht="15" customHeight="1" s="144">
      <c r="A12" s="99" t="n"/>
      <c r="B12" s="99" t="inlineStr">
        <is>
          <t>Patient Mobile – Onboarding</t>
        </is>
      </c>
      <c r="C12" s="99" t="inlineStr">
        <is>
          <t>Record Building &amp; Ready</t>
        </is>
      </c>
      <c r="D12" s="19" t="inlineStr">
        <is>
          <t>As a Patient, I should see what my free account does for me and tell Inlay what matters most while my record builds, until my record is ready.</t>
        </is>
      </c>
      <c r="E12" s="99" t="inlineStr">
        <is>
          <t>New</t>
        </is>
      </c>
      <c r="F12" s="94" t="inlineStr">
        <is>
          <t>Yes</t>
        </is>
      </c>
      <c r="G12" s="87" t="n">
        <v>6</v>
      </c>
      <c r="H12" s="87" t="n">
        <v>4</v>
      </c>
      <c r="I12" s="87" t="n"/>
      <c r="J12" s="87" t="n"/>
      <c r="K12" s="148" t="inlineStr">
        <is>
          <t>Prototype Link</t>
        </is>
      </c>
      <c r="L12" s="87" t="n"/>
    </row>
    <row r="13" ht="15" customHeight="1" s="144">
      <c r="A13" s="94" t="n"/>
      <c r="B13" s="94" t="inlineStr">
        <is>
          <t>Patient Web – Onboarding &amp; Consent</t>
        </is>
      </c>
      <c r="C13" s="94" t="inlineStr">
        <is>
          <t>Forgot Password</t>
        </is>
      </c>
      <c r="D13" s="97" t="inlineStr">
        <is>
          <t>As a Patient, I should be able to click “Forgot password?” on the sign-in screen to reset my password.</t>
        </is>
      </c>
      <c r="E13" s="94" t="inlineStr">
        <is>
          <t>Retained</t>
        </is>
      </c>
      <c r="F13" s="94" t="inlineStr">
        <is>
          <t>Yes</t>
        </is>
      </c>
      <c r="G13" s="87" t="n">
        <v>2</v>
      </c>
      <c r="H13" s="87" t="n">
        <v>4</v>
      </c>
      <c r="I13" s="106" t="n"/>
      <c r="J13" s="106" t="n"/>
      <c r="K13" s="148" t="inlineStr">
        <is>
          <t>Prototype Link</t>
        </is>
      </c>
      <c r="L13" s="87" t="n"/>
    </row>
    <row r="14" ht="15" customHeight="1" s="144">
      <c r="A14" s="94" t="n"/>
      <c r="B14" s="94" t="inlineStr">
        <is>
          <t>Patient Web – Onboarding &amp; Consent</t>
        </is>
      </c>
      <c r="C14" s="94" t="inlineStr">
        <is>
          <t>Log Out</t>
        </is>
      </c>
      <c r="D14" s="97" t="inlineStr">
        <is>
          <t>As a Patient, I should be able to log out of the app.</t>
        </is>
      </c>
      <c r="E14" s="94" t="inlineStr">
        <is>
          <t>Retained</t>
        </is>
      </c>
      <c r="F14" s="94" t="inlineStr">
        <is>
          <t>Yes</t>
        </is>
      </c>
      <c r="G14" s="87" t="n">
        <v>2</v>
      </c>
      <c r="H14" s="87" t="n">
        <v>4</v>
      </c>
      <c r="I14" s="87" t="n">
        <v>6</v>
      </c>
      <c r="J14" s="87" t="n">
        <v>6</v>
      </c>
      <c r="K14" s="148" t="inlineStr">
        <is>
          <t>Prototype Link</t>
        </is>
      </c>
      <c r="L14" s="87" t="n"/>
    </row>
    <row r="15" ht="15" customHeight="1" s="144">
      <c r="A15" s="94" t="n"/>
      <c r="B15" s="94" t="inlineStr">
        <is>
          <t>Onboarding &amp; consent</t>
        </is>
      </c>
      <c r="C15" s="94" t="inlineStr">
        <is>
          <t>Sign consent</t>
        </is>
      </c>
      <c r="D15" s="97" t="inlineStr">
        <is>
          <t>As a patient, I can review and sign consent before any data is collected.</t>
        </is>
      </c>
      <c r="E15" s="94" t="inlineStr">
        <is>
          <t>Retained</t>
        </is>
      </c>
      <c r="F15" s="94" t="inlineStr">
        <is>
          <t>Yes</t>
        </is>
      </c>
      <c r="G15" s="87" t="n">
        <v>2</v>
      </c>
      <c r="H15" s="87" t="n">
        <v>4</v>
      </c>
      <c r="I15" s="87" t="n">
        <v>4</v>
      </c>
      <c r="J15" s="87" t="n">
        <v>6</v>
      </c>
      <c r="K15" s="148" t="inlineStr">
        <is>
          <t>Prototype Link</t>
        </is>
      </c>
      <c r="L15" s="87" t="n"/>
    </row>
    <row r="16" ht="15" customHeight="1" s="144">
      <c r="A16" s="94" t="n"/>
      <c r="B16" s="94" t="inlineStr">
        <is>
          <t>Onboarding &amp; consent</t>
        </is>
      </c>
      <c r="C16" s="94" t="inlineStr">
        <is>
          <t>Withdraw consent</t>
        </is>
      </c>
      <c r="D16" s="97" t="inlineStr">
        <is>
          <t>As a patient, I can withdraw consent and stop the data pull.</t>
        </is>
      </c>
      <c r="E16" s="94" t="inlineStr">
        <is>
          <t>Retained</t>
        </is>
      </c>
      <c r="F16" s="94" t="inlineStr">
        <is>
          <t>Yes</t>
        </is>
      </c>
      <c r="G16" s="87" t="n">
        <v>2</v>
      </c>
      <c r="H16" s="87" t="n">
        <v>4</v>
      </c>
      <c r="I16" s="106" t="n"/>
      <c r="J16" s="106" t="n"/>
      <c r="K16" s="148" t="inlineStr">
        <is>
          <t>Prototype Link</t>
        </is>
      </c>
      <c r="L16" s="87" t="n"/>
    </row>
    <row r="17" ht="15" customHeight="1" s="144">
      <c r="A17" s="152" t="inlineStr">
        <is>
          <t>INTAKE &amp; GOALS</t>
        </is>
      </c>
      <c r="B17" s="147" t="n"/>
      <c r="C17" s="106" t="n"/>
      <c r="D17" s="80" t="n"/>
      <c r="E17" s="106" t="n"/>
      <c r="F17" s="106" t="n"/>
      <c r="G17" s="106" t="n"/>
      <c r="H17" s="106" t="n"/>
      <c r="I17" s="106" t="n"/>
      <c r="J17" s="106" t="n"/>
      <c r="K17" s="106" t="n"/>
      <c r="L17" s="106" t="n"/>
    </row>
    <row r="18" ht="15" customHeight="1" s="144">
      <c r="A18" s="94" t="n"/>
      <c r="B18" s="94" t="inlineStr">
        <is>
          <t>Intake &amp; goals</t>
        </is>
      </c>
      <c r="C18" s="94" t="inlineStr">
        <is>
          <t>AI-guided intake</t>
        </is>
      </c>
      <c r="D18" s="97" t="inlineStr">
        <is>
          <t>As a patient, I can complete an AI-guided intake (goals, history, habits).</t>
        </is>
      </c>
      <c r="E18" s="94" t="inlineStr">
        <is>
          <t>Removed</t>
        </is>
      </c>
      <c r="F18" s="94" t="inlineStr">
        <is>
          <t>Yes</t>
        </is>
      </c>
      <c r="G18" s="87" t="n">
        <v>4</v>
      </c>
      <c r="H18" s="87" t="n">
        <v>6</v>
      </c>
      <c r="I18" s="87" t="n"/>
      <c r="J18" s="87" t="n"/>
      <c r="K18" s="94" t="n"/>
      <c r="L18" s="87" t="n"/>
    </row>
    <row r="19" ht="15" customHeight="1" s="144">
      <c r="A19" s="94" t="n"/>
      <c r="B19" s="94" t="inlineStr">
        <is>
          <t>Intake &amp; goals</t>
        </is>
      </c>
      <c r="C19" s="94" t="inlineStr">
        <is>
          <t>Save &amp; resume</t>
        </is>
      </c>
      <c r="D19" s="97" t="inlineStr">
        <is>
          <t>As a patient, I can save and resume my intake.</t>
        </is>
      </c>
      <c r="E19" s="94" t="inlineStr">
        <is>
          <t>Removed</t>
        </is>
      </c>
      <c r="F19" s="94" t="inlineStr">
        <is>
          <t>Yes</t>
        </is>
      </c>
      <c r="G19" s="87" t="n">
        <v>4</v>
      </c>
      <c r="H19" s="87" t="n">
        <v>6</v>
      </c>
      <c r="I19" s="87">
        <f>SUMIFS(I32:I44,G32:G44,G19)</f>
        <v/>
      </c>
      <c r="J19" s="87">
        <f>SUMIFS(J32:J44,G32:G44,G19)</f>
        <v/>
      </c>
      <c r="K19" s="94" t="n"/>
      <c r="L19" s="87" t="n"/>
    </row>
    <row r="20" ht="15" customHeight="1" s="144">
      <c r="A20" s="94" t="n"/>
      <c r="B20" s="94" t="inlineStr">
        <is>
          <t>Intake &amp; goals</t>
        </is>
      </c>
      <c r="C20" s="94" t="inlineStr">
        <is>
          <t>AI-proposed goals</t>
        </is>
      </c>
      <c r="D20" s="97" t="inlineStr">
        <is>
          <t>As a patient, I should be able to view AI-proposed goals from my data.</t>
        </is>
      </c>
      <c r="E20" s="94" t="inlineStr">
        <is>
          <t>Retained</t>
        </is>
      </c>
      <c r="F20" s="94" t="inlineStr">
        <is>
          <t>Yes</t>
        </is>
      </c>
      <c r="G20" s="87" t="n">
        <v>4</v>
      </c>
      <c r="H20" s="87" t="n">
        <v>6</v>
      </c>
      <c r="I20" s="106" t="n"/>
      <c r="J20" s="106" t="n"/>
      <c r="K20" s="148" t="inlineStr">
        <is>
          <t>Prototype Link</t>
        </is>
      </c>
      <c r="L20" s="87" t="n"/>
    </row>
    <row r="21" ht="15" customHeight="1" s="144">
      <c r="A21" s="94" t="n"/>
      <c r="B21" s="94" t="inlineStr">
        <is>
          <t>Intake &amp; goals</t>
        </is>
      </c>
      <c r="C21" s="94" t="inlineStr">
        <is>
          <t>Select goals</t>
        </is>
      </c>
      <c r="D21" s="97" t="inlineStr">
        <is>
          <t>As a patient, I can select goals; they stay pending physician approval.</t>
        </is>
      </c>
      <c r="E21" s="94" t="inlineStr">
        <is>
          <t>Removed</t>
        </is>
      </c>
      <c r="F21" s="94" t="inlineStr">
        <is>
          <t>Yes</t>
        </is>
      </c>
      <c r="G21" s="87" t="n">
        <v>4</v>
      </c>
      <c r="H21" s="87" t="n">
        <v>6</v>
      </c>
      <c r="I21" s="94" t="n"/>
      <c r="J21" s="94" t="n"/>
      <c r="K21" s="94" t="n"/>
      <c r="L21" s="94" t="n"/>
    </row>
    <row r="22" ht="15" customHeight="1" s="144">
      <c r="A22" s="152" t="inlineStr">
        <is>
          <t>DATA CONNECTIONS</t>
        </is>
      </c>
      <c r="B22" s="147" t="n"/>
      <c r="C22" s="106" t="n"/>
      <c r="D22" s="80" t="n"/>
      <c r="E22" s="106" t="n"/>
      <c r="F22" s="106" t="n"/>
      <c r="G22" s="106" t="n"/>
      <c r="H22" s="106" t="n"/>
      <c r="I22" s="106" t="n"/>
      <c r="J22" s="106" t="n"/>
      <c r="K22" s="106" t="n"/>
      <c r="L22" s="106" t="n"/>
    </row>
    <row r="23" ht="15" customHeight="1" s="144">
      <c r="A23" s="94" t="n"/>
      <c r="B23" s="94" t="inlineStr">
        <is>
          <t>Data connections</t>
        </is>
      </c>
      <c r="C23" s="94" t="inlineStr">
        <is>
          <t>Authorize EMR</t>
        </is>
      </c>
      <c r="D23" s="97" t="inlineStr">
        <is>
          <t>As a patient, I can authorize EMR access from the app.</t>
        </is>
      </c>
      <c r="E23" s="94" t="inlineStr">
        <is>
          <t>Removed</t>
        </is>
      </c>
      <c r="F23" s="94" t="inlineStr">
        <is>
          <t>Yes</t>
        </is>
      </c>
      <c r="G23" s="87" t="n">
        <v>4</v>
      </c>
      <c r="H23" s="87" t="n">
        <v>6</v>
      </c>
      <c r="I23" s="94" t="n"/>
      <c r="J23" s="94" t="n"/>
      <c r="K23" s="94" t="n"/>
      <c r="L23" s="94" t="n"/>
    </row>
    <row r="24" ht="15" customHeight="1" s="144">
      <c r="A24" s="94" t="n"/>
      <c r="B24" s="94" t="inlineStr">
        <is>
          <t>Data connections</t>
        </is>
      </c>
      <c r="C24" s="94" t="inlineStr">
        <is>
          <t>Multi-hospital auth</t>
        </is>
      </c>
      <c r="D24" s="97" t="inlineStr">
        <is>
          <t>As a patient, I can authorize multiple hospitals separately.</t>
        </is>
      </c>
      <c r="E24" s="94" t="inlineStr">
        <is>
          <t>Removed</t>
        </is>
      </c>
      <c r="F24" s="94" t="inlineStr">
        <is>
          <t>Yes</t>
        </is>
      </c>
      <c r="G24" s="87" t="n">
        <v>4</v>
      </c>
      <c r="H24" s="87" t="n">
        <v>6</v>
      </c>
      <c r="I24" s="94" t="n"/>
      <c r="J24" s="94" t="n"/>
      <c r="K24" s="94" t="n"/>
      <c r="L24" s="94" t="n"/>
    </row>
    <row r="25" ht="15" customHeight="1" s="144">
      <c r="A25" s="94" t="n"/>
      <c r="B25" s="94" t="inlineStr">
        <is>
          <t>Data connections</t>
        </is>
      </c>
      <c r="C25" s="94" t="inlineStr">
        <is>
          <t>Revoke access</t>
        </is>
      </c>
      <c r="D25" s="97" t="inlineStr">
        <is>
          <t>As a patient, I can revoke access anytime.</t>
        </is>
      </c>
      <c r="E25" s="94" t="inlineStr">
        <is>
          <t>Removed</t>
        </is>
      </c>
      <c r="F25" s="94" t="inlineStr">
        <is>
          <t>Yes</t>
        </is>
      </c>
      <c r="G25" s="87" t="n">
        <v>2</v>
      </c>
      <c r="H25" s="87" t="n">
        <v>4</v>
      </c>
      <c r="I25" s="94" t="n"/>
      <c r="J25" s="94" t="n"/>
      <c r="K25" s="94" t="n"/>
      <c r="L25" s="94" t="n"/>
    </row>
    <row r="26" ht="15" customHeight="1" s="144">
      <c r="A26" s="94" t="n"/>
      <c r="B26" s="94" t="inlineStr">
        <is>
          <t>Data connections</t>
        </is>
      </c>
      <c r="C26" s="94" t="inlineStr">
        <is>
          <t>Updates About Your Care</t>
        </is>
      </c>
      <c r="D26" s="97" t="inlineStr">
        <is>
          <t>As a Patient, I should be able to choose whether Inlay can text, call or email me about my care, and agree to the messaging terms.</t>
        </is>
      </c>
      <c r="E26" s="94" t="inlineStr">
        <is>
          <t>New</t>
        </is>
      </c>
      <c r="F26" s="94" t="inlineStr">
        <is>
          <t>Yes</t>
        </is>
      </c>
      <c r="G26" s="87" t="n">
        <v>2</v>
      </c>
      <c r="H26" s="87" t="n">
        <v>4</v>
      </c>
      <c r="I26" s="94" t="n"/>
      <c r="J26" s="94" t="n"/>
      <c r="K26" s="148" t="inlineStr">
        <is>
          <t>Prototype Link</t>
        </is>
      </c>
      <c r="L26" s="94" t="n"/>
    </row>
    <row r="27" ht="15" customHeight="1" s="144">
      <c r="A27" s="94" t="n"/>
      <c r="B27" s="94" t="inlineStr">
        <is>
          <t>Data connections</t>
        </is>
      </c>
      <c r="C27" s="94" t="inlineStr">
        <is>
          <t>Record Building &amp; Ready</t>
        </is>
      </c>
      <c r="D27" s="97" t="inlineStr">
        <is>
          <t>As a Patient, I should see my record being built from each source after connecting, be able to go to my dashboard while it builds, and see a summary by type once my record is ready.</t>
        </is>
      </c>
      <c r="E27" s="94" t="inlineStr">
        <is>
          <t>New</t>
        </is>
      </c>
      <c r="F27" s="94" t="inlineStr">
        <is>
          <t>Yes</t>
        </is>
      </c>
      <c r="G27" s="87" t="n">
        <v>8</v>
      </c>
      <c r="H27" s="87" t="n">
        <v>6</v>
      </c>
      <c r="I27" s="94" t="n"/>
      <c r="J27" s="94" t="n"/>
      <c r="K27" s="148" t="inlineStr">
        <is>
          <t>Prototype Link</t>
        </is>
      </c>
      <c r="L27" s="94" t="n"/>
    </row>
    <row r="28" ht="15" customHeight="1" s="144">
      <c r="A28" s="94" t="n"/>
      <c r="B28" s="94" t="inlineStr">
        <is>
          <t>Data connections</t>
        </is>
      </c>
      <c r="C28" s="94" t="inlineStr">
        <is>
          <t>Connect device (Terra)</t>
        </is>
      </c>
      <c r="D28" s="97" t="inlineStr">
        <is>
          <t>As a patient, I can connect a wearable via Terra.</t>
        </is>
      </c>
      <c r="E28" s="94" t="inlineStr">
        <is>
          <t>Retained</t>
        </is>
      </c>
      <c r="F28" s="94" t="inlineStr">
        <is>
          <t>Yes</t>
        </is>
      </c>
      <c r="G28" s="87" t="n">
        <v>6</v>
      </c>
      <c r="H28" s="87" t="n">
        <v>6</v>
      </c>
      <c r="I28" s="94" t="n"/>
      <c r="J28" s="94" t="n"/>
      <c r="K28" s="148" t="inlineStr">
        <is>
          <t>Prototype Link</t>
        </is>
      </c>
      <c r="L28" s="94" t="n"/>
    </row>
    <row r="29" ht="15" customHeight="1" s="144">
      <c r="A29" s="94" t="n"/>
      <c r="B29" s="94" t="inlineStr">
        <is>
          <t>Data connections</t>
        </is>
      </c>
      <c r="C29" s="94" t="inlineStr">
        <is>
          <t>Connection status</t>
        </is>
      </c>
      <c r="D29" s="97" t="inlineStr">
        <is>
          <t>As a patient, I can see device connection &amp; sync status.</t>
        </is>
      </c>
      <c r="E29" s="94" t="inlineStr">
        <is>
          <t>Retained</t>
        </is>
      </c>
      <c r="F29" s="94" t="inlineStr">
        <is>
          <t>Yes</t>
        </is>
      </c>
      <c r="G29" s="87" t="n">
        <v>2</v>
      </c>
      <c r="H29" s="87" t="n">
        <v>2</v>
      </c>
      <c r="I29" s="94" t="n"/>
      <c r="J29" s="94" t="n"/>
      <c r="K29" s="94" t="inlineStr">
        <is>
          <t>Not Req</t>
        </is>
      </c>
      <c r="L29" s="94" t="n"/>
    </row>
    <row r="30" ht="15" customHeight="1" s="144">
      <c r="A30" s="94" t="n"/>
      <c r="B30" s="94" t="inlineStr">
        <is>
          <t>Data connections</t>
        </is>
      </c>
      <c r="C30" s="94" t="inlineStr">
        <is>
          <t>Upload report</t>
        </is>
      </c>
      <c r="D30" s="97" t="inlineStr">
        <is>
          <t>As a patient, I can upload a DEXA/lab PDF; AI extracts the values.</t>
        </is>
      </c>
      <c r="E30" s="94" t="inlineStr">
        <is>
          <t>Removed</t>
        </is>
      </c>
      <c r="F30" s="94" t="inlineStr">
        <is>
          <t>No</t>
        </is>
      </c>
      <c r="G30" s="87" t="n">
        <v>4</v>
      </c>
      <c r="H30" s="87" t="n">
        <v>6</v>
      </c>
      <c r="I30" s="94" t="n"/>
      <c r="J30" s="94" t="n"/>
      <c r="K30" s="94" t="n"/>
      <c r="L30" s="94" t="n"/>
    </row>
    <row r="31" ht="15" customHeight="1" s="144">
      <c r="A31" s="94" t="n"/>
      <c r="B31" s="94" t="inlineStr">
        <is>
          <t>Data connections</t>
        </is>
      </c>
      <c r="C31" s="94" t="inlineStr">
        <is>
          <t>Extraction preview</t>
        </is>
      </c>
      <c r="D31" s="97" t="inlineStr">
        <is>
          <t>As a patient, I can confirm extracted values before they are saved.</t>
        </is>
      </c>
      <c r="E31" s="94" t="inlineStr">
        <is>
          <t>Removed</t>
        </is>
      </c>
      <c r="F31" s="94" t="inlineStr">
        <is>
          <t>No</t>
        </is>
      </c>
      <c r="G31" s="87" t="n">
        <v>2</v>
      </c>
      <c r="H31" s="87" t="n">
        <v>4</v>
      </c>
      <c r="I31" s="94" t="n"/>
      <c r="J31" s="94" t="n"/>
      <c r="K31" s="94" t="n"/>
      <c r="L31" s="94" t="n"/>
    </row>
    <row r="32" ht="15" customHeight="1" s="144">
      <c r="A32" s="152" t="inlineStr">
        <is>
          <t>DASHBOARD</t>
        </is>
      </c>
      <c r="B32" s="147" t="n"/>
      <c r="C32" s="106" t="n"/>
      <c r="D32" s="80" t="n"/>
      <c r="E32" s="106" t="n"/>
      <c r="F32" s="106" t="n"/>
      <c r="G32" s="106" t="n"/>
      <c r="H32" s="106" t="n"/>
      <c r="I32" s="106" t="n"/>
      <c r="J32" s="106" t="n"/>
      <c r="K32" s="106" t="n"/>
      <c r="L32" s="106" t="n"/>
    </row>
    <row r="33" ht="15" customHeight="1" s="144">
      <c r="A33" s="94" t="n"/>
      <c r="B33" s="94" t="inlineStr">
        <is>
          <t>Dashboard</t>
        </is>
      </c>
      <c r="C33" s="94" t="inlineStr">
        <is>
          <t>Overall &amp; domain scores</t>
        </is>
      </c>
      <c r="D33" s="97" t="inlineStr">
        <is>
          <t>As a patient, I can see my overall HOL score and domain scores.</t>
        </is>
      </c>
      <c r="E33" s="94" t="inlineStr">
        <is>
          <t>Retained</t>
        </is>
      </c>
      <c r="F33" s="94" t="inlineStr">
        <is>
          <t>Yes</t>
        </is>
      </c>
      <c r="G33" s="87" t="n">
        <v>4</v>
      </c>
      <c r="H33" s="87" t="n">
        <v>6</v>
      </c>
      <c r="I33" s="87" t="n">
        <v>2</v>
      </c>
      <c r="J33" s="87" t="n">
        <v>4</v>
      </c>
      <c r="K33" s="148" t="inlineStr">
        <is>
          <t>Prototype Link</t>
        </is>
      </c>
      <c r="L33" s="87" t="n"/>
    </row>
    <row r="34" ht="15" customHeight="1" s="144">
      <c r="A34" s="94" t="n"/>
      <c r="B34" s="94" t="inlineStr">
        <is>
          <t>Dashboard</t>
        </is>
      </c>
      <c r="C34" s="94" t="inlineStr">
        <is>
          <t>Top priorities &amp; tasks</t>
        </is>
      </c>
      <c r="D34" s="97" t="inlineStr">
        <is>
          <t>As a patient, I can see my top priorities and today’s tasks.</t>
        </is>
      </c>
      <c r="E34" s="94" t="inlineStr">
        <is>
          <t>Retained</t>
        </is>
      </c>
      <c r="F34" s="94" t="inlineStr">
        <is>
          <t>Yes</t>
        </is>
      </c>
      <c r="G34" s="87" t="n">
        <v>2</v>
      </c>
      <c r="H34" s="87" t="n">
        <v>4</v>
      </c>
      <c r="I34" s="87" t="n"/>
      <c r="J34" s="87" t="n"/>
      <c r="K34" s="148" t="inlineStr">
        <is>
          <t>Prototype Link</t>
        </is>
      </c>
      <c r="L34" s="87" t="n"/>
    </row>
    <row r="35" ht="15" customHeight="1" s="144">
      <c r="A35" s="94" t="n"/>
      <c r="B35" s="94" t="inlineStr">
        <is>
          <t>Dashboard</t>
        </is>
      </c>
      <c r="C35" s="94" t="inlineStr">
        <is>
          <t>Live data &amp; trends</t>
        </is>
      </c>
      <c r="D35" s="97" t="inlineStr">
        <is>
          <t>As a patient, I can see near-real-time data and trend lines (no gate).</t>
        </is>
      </c>
      <c r="E35" s="94" t="inlineStr">
        <is>
          <t>Retained</t>
        </is>
      </c>
      <c r="F35" s="94" t="inlineStr">
        <is>
          <t>Yes</t>
        </is>
      </c>
      <c r="G35" s="87" t="n">
        <v>4</v>
      </c>
      <c r="H35" s="87" t="n">
        <v>6</v>
      </c>
      <c r="I35" s="87" t="n"/>
      <c r="J35" s="87" t="n"/>
      <c r="K35" s="148" t="inlineStr">
        <is>
          <t>Prototype Link</t>
        </is>
      </c>
      <c r="L35" s="87" t="n"/>
    </row>
    <row r="36" ht="15" customHeight="1" s="144">
      <c r="A36" s="94" t="n"/>
      <c r="B36" s="94" t="inlineStr">
        <is>
          <t>Patient Mobile – Home</t>
        </is>
      </c>
      <c r="C36" s="94" t="inlineStr">
        <is>
          <t>Home Header</t>
        </is>
      </c>
      <c r="D36" s="97" t="inlineStr">
        <is>
          <t>As a Patient, I should see a greeting with my name and photo, and a notifications bell showing how many unread notifications I have.</t>
        </is>
      </c>
      <c r="E36" s="94" t="inlineStr">
        <is>
          <t>New</t>
        </is>
      </c>
      <c r="F36" s="94" t="inlineStr">
        <is>
          <t>Yes</t>
        </is>
      </c>
      <c r="G36" s="87" t="n">
        <v>8</v>
      </c>
      <c r="H36" s="87" t="n">
        <v>4</v>
      </c>
      <c r="I36" s="87" t="n">
        <v>4</v>
      </c>
      <c r="J36" s="87" t="n">
        <v>6</v>
      </c>
      <c r="K36" s="148" t="inlineStr">
        <is>
          <t>Prototype Link</t>
        </is>
      </c>
      <c r="L36" s="87" t="n"/>
    </row>
    <row r="37" ht="15" customHeight="1" s="144">
      <c r="A37" s="94" t="n"/>
      <c r="B37" s="94" t="inlineStr">
        <is>
          <t>Patient Mobile – Home</t>
        </is>
      </c>
      <c r="C37" s="94" t="inlineStr">
        <is>
          <t>Bottom Navigation</t>
        </is>
      </c>
      <c r="D37" s="97" t="inlineStr">
        <is>
          <t>As a Patient, I should be able to move between Home, Record, To do and Upgrade from the bottom menu.</t>
        </is>
      </c>
      <c r="E37" s="94" t="inlineStr">
        <is>
          <t>New</t>
        </is>
      </c>
      <c r="F37" s="94" t="inlineStr">
        <is>
          <t>Yes</t>
        </is>
      </c>
      <c r="G37" s="87" t="n">
        <v>6</v>
      </c>
      <c r="H37" s="87" t="n">
        <v>2</v>
      </c>
      <c r="I37" s="87" t="n">
        <v>2</v>
      </c>
      <c r="J37" s="87" t="n">
        <v>4</v>
      </c>
      <c r="K37" s="148" t="inlineStr">
        <is>
          <t>Prototype Link</t>
        </is>
      </c>
      <c r="L37" s="87" t="n"/>
    </row>
    <row r="38" ht="15" customHeight="1" s="144">
      <c r="A38" s="94" t="n"/>
      <c r="B38" s="94" t="inlineStr">
        <is>
          <t>Patient Mobile – Member Home</t>
        </is>
      </c>
      <c r="C38" s="94" t="inlineStr">
        <is>
          <t>Member App Tour</t>
        </is>
      </c>
      <c r="D38" s="97" t="inlineStr">
        <is>
          <t>As a Member, I should see a 3-step tour explaining the bottom menu (Home, Record, To do, Plan), the health assistant and my account.</t>
        </is>
      </c>
      <c r="E38" s="94" t="inlineStr">
        <is>
          <t>New</t>
        </is>
      </c>
      <c r="F38" s="94" t="inlineStr">
        <is>
          <t>Yes</t>
        </is>
      </c>
      <c r="G38" s="87" t="n">
        <v>6</v>
      </c>
      <c r="H38" s="87" t="n">
        <v>2</v>
      </c>
      <c r="I38" s="106" t="n"/>
      <c r="J38" s="106" t="n"/>
      <c r="K38" s="148" t="inlineStr">
        <is>
          <t>Prototype Link</t>
        </is>
      </c>
      <c r="L38" s="87" t="n"/>
    </row>
    <row r="39" ht="15" customHeight="1" s="144">
      <c r="A39" s="94" t="n"/>
      <c r="B39" s="94" t="inlineStr">
        <is>
          <t>Patient Mobile – Home</t>
        </is>
      </c>
      <c r="C39" s="94" t="inlineStr">
        <is>
          <t>New Results</t>
        </is>
      </c>
      <c r="D39" s="75" t="inlineStr">
        <is>
          <t>As a Patient, I should see on Home when new results have arrived, and tap through to view them.</t>
        </is>
      </c>
      <c r="E39" s="94" t="inlineStr">
        <is>
          <t>New</t>
        </is>
      </c>
      <c r="F39" s="94" t="inlineStr">
        <is>
          <t>Yes</t>
        </is>
      </c>
      <c r="G39" s="87" t="n">
        <v>4</v>
      </c>
      <c r="H39" s="87" t="n">
        <v>4</v>
      </c>
      <c r="I39" s="106" t="n"/>
      <c r="J39" s="106" t="n"/>
      <c r="K39" s="94" t="inlineStr">
        <is>
          <t>Not Req</t>
        </is>
      </c>
      <c r="L39" s="87" t="n"/>
    </row>
    <row r="40" ht="15" customHeight="1" s="144">
      <c r="A40" s="87" t="n"/>
      <c r="B40" s="87" t="inlineStr">
        <is>
          <t>Patient Mobile – Home</t>
        </is>
      </c>
      <c r="C40" s="87" t="inlineStr">
        <is>
          <t>Cancelled Membership</t>
        </is>
      </c>
      <c r="D40" s="84" t="inlineStr">
        <is>
          <t>As a Patient, I should still see my free health record on Home after I cancel my membership, with an option to uprade again</t>
        </is>
      </c>
      <c r="E40" s="87" t="inlineStr">
        <is>
          <t>New</t>
        </is>
      </c>
      <c r="F40" s="87" t="inlineStr">
        <is>
          <t>Yes</t>
        </is>
      </c>
      <c r="G40" s="87" t="n">
        <v>4</v>
      </c>
      <c r="H40" s="87" t="n">
        <v>6</v>
      </c>
      <c r="I40" s="87" t="n">
        <v>4</v>
      </c>
      <c r="J40" s="87" t="n">
        <v>6</v>
      </c>
      <c r="K40" s="94" t="inlineStr">
        <is>
          <t>Not Req</t>
        </is>
      </c>
      <c r="L40" s="87" t="n"/>
    </row>
    <row r="41" ht="15" customHeight="1" s="144">
      <c r="A41" s="94" t="n"/>
      <c r="B41" s="94" t="inlineStr">
        <is>
          <t>Patient Mobile – Home</t>
        </is>
      </c>
      <c r="C41" s="94" t="inlineStr">
        <is>
          <t>Upcoming Appointments</t>
        </is>
      </c>
      <c r="D41" s="97" t="inlineStr">
        <is>
          <t>As a Patient, I should see my next upcoming appointment Details on Home with the  to view every upcoming appointment.</t>
        </is>
      </c>
      <c r="E41" s="94" t="inlineStr">
        <is>
          <t>New</t>
        </is>
      </c>
      <c r="F41" s="94" t="inlineStr">
        <is>
          <t>Yes</t>
        </is>
      </c>
      <c r="G41" s="87" t="n">
        <v>4</v>
      </c>
      <c r="H41" s="87" t="n">
        <v>6</v>
      </c>
      <c r="I41" s="87" t="n">
        <v>4</v>
      </c>
      <c r="J41" s="87" t="n">
        <v>6</v>
      </c>
      <c r="K41" s="148" t="inlineStr">
        <is>
          <t>Prototype Link</t>
        </is>
      </c>
      <c r="L41" s="87" t="n"/>
    </row>
    <row r="42" ht="15" customHeight="1" s="144">
      <c r="A42" s="94" t="n"/>
      <c r="B42" s="94" t="inlineStr">
        <is>
          <t>Patient Mobile – Home</t>
        </is>
      </c>
      <c r="C42" s="94" t="inlineStr">
        <is>
          <t>Your Medicines</t>
        </is>
      </c>
      <c r="D42" s="97" t="inlineStr">
        <is>
          <t>As a Patient, I should see my current medicines with the dose, how often I take them and who prescribed them, plus my supplements, and tap “See all” to view the full list.</t>
        </is>
      </c>
      <c r="E42" s="94" t="inlineStr">
        <is>
          <t>New</t>
        </is>
      </c>
      <c r="F42" s="94" t="inlineStr">
        <is>
          <t>Yes</t>
        </is>
      </c>
      <c r="G42" s="87" t="n">
        <v>6</v>
      </c>
      <c r="H42" s="87" t="n">
        <v>6</v>
      </c>
      <c r="I42" s="87" t="n">
        <v>4</v>
      </c>
      <c r="J42" s="87" t="n">
        <v>6</v>
      </c>
      <c r="K42" s="148" t="inlineStr">
        <is>
          <t>Prototype Link</t>
        </is>
      </c>
      <c r="L42" s="87" t="n"/>
    </row>
    <row r="43" ht="15" customHeight="1" s="144">
      <c r="A43" s="87" t="n"/>
      <c r="B43" s="87" t="inlineStr">
        <is>
          <t>Patient Mobile – Home</t>
        </is>
      </c>
      <c r="C43" s="87" t="inlineStr">
        <is>
          <t>Notifications</t>
        </is>
      </c>
      <c r="D43" s="84" t="inlineStr">
        <is>
          <t>As a Patient, I should be able to open my notifications from Home, see what’s new, and go to the item each one is about.</t>
        </is>
      </c>
      <c r="E43" s="87" t="inlineStr">
        <is>
          <t>New</t>
        </is>
      </c>
      <c r="F43" s="87" t="inlineStr">
        <is>
          <t>Yes</t>
        </is>
      </c>
      <c r="G43" s="87" t="n">
        <v>4</v>
      </c>
      <c r="H43" s="87" t="n">
        <v>6</v>
      </c>
      <c r="I43" s="87" t="n"/>
      <c r="J43" s="87" t="n"/>
      <c r="K43" s="148" t="inlineStr">
        <is>
          <t>Prototype Link</t>
        </is>
      </c>
      <c r="L43" s="87" t="n"/>
    </row>
    <row r="44" ht="15" customHeight="1" s="144">
      <c r="A44" s="152" t="inlineStr">
        <is>
          <t>TO DO</t>
        </is>
      </c>
      <c r="B44" s="147" t="n"/>
      <c r="C44" s="106" t="n"/>
      <c r="D44" s="80" t="n"/>
      <c r="E44" s="106" t="n"/>
      <c r="F44" s="106" t="n"/>
      <c r="G44" s="106" t="n"/>
      <c r="H44" s="106" t="n"/>
      <c r="I44" s="106" t="n"/>
      <c r="J44" s="106" t="n"/>
      <c r="K44" s="106" t="n"/>
      <c r="L44" s="106" t="n"/>
    </row>
    <row r="45" ht="15" customHeight="1" s="144">
      <c r="A45" s="94" t="n"/>
      <c r="B45" s="94" t="inlineStr">
        <is>
          <t>Patient Mobile – Member Home</t>
        </is>
      </c>
      <c r="C45" s="94" t="inlineStr">
        <is>
          <t>Today’s To-do</t>
        </is>
      </c>
      <c r="D45" s="97" t="inlineStr">
        <is>
          <t>As a Member, I should see today’s plan tasks (workout, meals, walk, blood pressure check) with their time and details, and a progress ring showing how much of today I’ve done.</t>
        </is>
      </c>
      <c r="E45" s="94" t="inlineStr">
        <is>
          <t>New</t>
        </is>
      </c>
      <c r="F45" s="94" t="inlineStr">
        <is>
          <t>Yes</t>
        </is>
      </c>
      <c r="G45" s="87" t="n">
        <v>6</v>
      </c>
      <c r="H45" s="87" t="n">
        <v>6</v>
      </c>
      <c r="I45" s="87" t="n">
        <v>2</v>
      </c>
      <c r="J45" s="87" t="n">
        <v>4</v>
      </c>
      <c r="K45" s="148" t="inlineStr">
        <is>
          <t>Prototype Link</t>
        </is>
      </c>
      <c r="L45" s="87" t="n"/>
    </row>
    <row r="46" ht="15" customHeight="1" s="144">
      <c r="A46" s="94" t="n"/>
      <c r="B46" s="94" t="inlineStr">
        <is>
          <t>Patient Mobile – To Do</t>
        </is>
      </c>
      <c r="C46" s="94" t="inlineStr">
        <is>
          <t>Free To Do – Filters &amp; Completed</t>
        </is>
      </c>
      <c r="D46" s="97" t="inlineStr">
        <is>
          <t>As a free Patient, I should be able to filter my to-do list by All, Overdue, Upcoming or Completed, with a count on each, and see the items I’ve done recently.</t>
        </is>
      </c>
      <c r="E46" s="94" t="inlineStr">
        <is>
          <t>New</t>
        </is>
      </c>
      <c r="F46" s="94" t="inlineStr">
        <is>
          <t>Yes</t>
        </is>
      </c>
      <c r="G46" s="77" t="n">
        <v>8</v>
      </c>
      <c r="H46" s="94" t="n">
        <v>6</v>
      </c>
      <c r="I46" s="94" t="n"/>
      <c r="J46" s="94" t="n"/>
      <c r="K46" s="148" t="inlineStr">
        <is>
          <t>Prototype Link</t>
        </is>
      </c>
      <c r="L46" s="94" t="n"/>
    </row>
    <row r="47" ht="15" customHeight="1" s="144">
      <c r="A47" s="94" t="n"/>
      <c r="B47" s="94" t="inlineStr">
        <is>
          <t>Patient Mobile – To Do</t>
        </is>
      </c>
      <c r="C47" s="94" t="inlineStr">
        <is>
          <t>Book a Test Through Inlay</t>
        </is>
      </c>
      <c r="D47" s="97" t="inlineStr">
        <is>
          <t>As a Patient, I should be able to book a test my physician ordered through Inlay by choosing a location (with its price and first opening) and a time slot.</t>
        </is>
      </c>
      <c r="E47" s="94" t="inlineStr">
        <is>
          <t>New</t>
        </is>
      </c>
      <c r="F47" s="94" t="inlineStr">
        <is>
          <t>Yes</t>
        </is>
      </c>
      <c r="G47" s="77" t="n">
        <v>6</v>
      </c>
      <c r="H47" s="94" t="n">
        <v>8</v>
      </c>
      <c r="I47" s="94" t="n"/>
      <c r="J47" s="94" t="n"/>
      <c r="K47" s="148" t="inlineStr">
        <is>
          <t>Prototype Link</t>
        </is>
      </c>
      <c r="L47" s="94" t="n"/>
    </row>
    <row r="48" ht="15" customHeight="1" s="144">
      <c r="A48" s="94" t="n"/>
      <c r="B48" s="94" t="inlineStr">
        <is>
          <t xml:space="preserve">Patient Mobile – to do </t>
        </is>
      </c>
      <c r="C48" s="94" t="inlineStr">
        <is>
          <t xml:space="preserve">Tests Scheduled and view </t>
        </is>
      </c>
      <c r="D48" s="97" t="inlineStr">
        <is>
          <t xml:space="preserve">As a Patient, I should see my scheduled tests with their date, time and location and details </t>
        </is>
      </c>
      <c r="E48" s="94" t="inlineStr">
        <is>
          <t>New</t>
        </is>
      </c>
      <c r="F48" s="94" t="inlineStr">
        <is>
          <t>Yes</t>
        </is>
      </c>
      <c r="G48" s="87" t="n">
        <v>6</v>
      </c>
      <c r="H48" s="94" t="n">
        <v>6</v>
      </c>
      <c r="I48" s="94" t="n"/>
      <c r="J48" s="94" t="n"/>
      <c r="K48" s="148" t="inlineStr">
        <is>
          <t>Prototype Link</t>
        </is>
      </c>
      <c r="L48" s="94" t="n"/>
    </row>
    <row r="49" ht="15" customHeight="1" s="144">
      <c r="A49" s="94" t="n"/>
      <c r="B49" s="94" t="inlineStr">
        <is>
          <t>Patient Mobile – To Do</t>
        </is>
      </c>
      <c r="C49" s="94" t="inlineStr">
        <is>
          <t>Pay &amp; Place Order</t>
        </is>
      </c>
      <c r="D49" s="97" t="inlineStr">
        <is>
          <t>As a Patient, I should be able to pay for the test with an available payment method and place the order.</t>
        </is>
      </c>
      <c r="E49" s="94" t="inlineStr">
        <is>
          <t>New</t>
        </is>
      </c>
      <c r="F49" s="94" t="inlineStr">
        <is>
          <t>Yes</t>
        </is>
      </c>
      <c r="G49" s="78" t="n"/>
      <c r="H49" s="94" t="n">
        <v>8</v>
      </c>
      <c r="I49" s="94" t="n"/>
      <c r="J49" s="94" t="n"/>
      <c r="K49" s="148" t="inlineStr">
        <is>
          <t>Prototype Link</t>
        </is>
      </c>
      <c r="L49" s="94" t="n"/>
    </row>
    <row r="50" ht="15" customHeight="1" s="144">
      <c r="A50" s="94" t="n"/>
      <c r="B50" s="94" t="inlineStr">
        <is>
          <t>Patient Mobile – To Do</t>
        </is>
      </c>
      <c r="C50" s="94" t="inlineStr">
        <is>
          <t>Booking Confirmation</t>
        </is>
      </c>
      <c r="D50" s="97" t="inlineStr">
        <is>
          <t>As a Patient, I should see a booking confirmation for my test that I can add to my calendar or get directions from.</t>
        </is>
      </c>
      <c r="E50" s="94" t="inlineStr">
        <is>
          <t>New</t>
        </is>
      </c>
      <c r="F50" s="94" t="inlineStr">
        <is>
          <t>Yes</t>
        </is>
      </c>
      <c r="G50" s="77" t="n"/>
      <c r="H50" s="94" t="n">
        <v>6</v>
      </c>
      <c r="I50" s="94" t="n"/>
      <c r="J50" s="94" t="n"/>
      <c r="K50" s="94" t="inlineStr">
        <is>
          <t>Not Req</t>
        </is>
      </c>
      <c r="L50" s="94" t="n"/>
    </row>
    <row r="51" ht="15" customHeight="1" s="144">
      <c r="A51" s="94" t="n"/>
      <c r="B51" s="94" t="inlineStr">
        <is>
          <t>Patient Mobile – To Do</t>
        </is>
      </c>
      <c r="C51" s="94" t="inlineStr">
        <is>
          <t xml:space="preserve">Member To Do – Today's To Do Overview </t>
        </is>
      </c>
      <c r="D51" s="97" t="inlineStr">
        <is>
          <t>As a Member, I should see the to-do items that need my attention, with how many are overdue, each item’s due date and reminder, and act on each one directly (book, call or check).</t>
        </is>
      </c>
      <c r="E51" s="94" t="inlineStr">
        <is>
          <t>New</t>
        </is>
      </c>
      <c r="F51" s="94" t="inlineStr">
        <is>
          <t>Yes</t>
        </is>
      </c>
      <c r="G51" s="77" t="n">
        <v>8</v>
      </c>
      <c r="H51" s="94" t="n">
        <v>6</v>
      </c>
      <c r="I51" s="94" t="n"/>
      <c r="J51" s="94" t="n"/>
      <c r="K51" s="148" t="inlineStr">
        <is>
          <t>Prototype Link</t>
        </is>
      </c>
      <c r="L51" s="94" t="n"/>
    </row>
    <row r="52" ht="15" customHeight="1" s="144">
      <c r="A52" s="94" t="n"/>
      <c r="B52" s="94" t="inlineStr">
        <is>
          <t>Patient Mobile – To Do</t>
        </is>
      </c>
      <c r="C52" s="94" t="inlineStr">
        <is>
          <t>Member To Do – Upcoming &amp; Booked</t>
        </is>
      </c>
      <c r="D52" s="97" t="inlineStr">
        <is>
          <t>As a Member, I should see my upcoming appointments and reviews, and my booked tests with their date, time, place and preparation instructions, and open any of them.</t>
        </is>
      </c>
      <c r="E52" s="94" t="inlineStr">
        <is>
          <t>New</t>
        </is>
      </c>
      <c r="F52" s="94" t="inlineStr">
        <is>
          <t>Yes</t>
        </is>
      </c>
      <c r="G52" s="77" t="n">
        <v>8</v>
      </c>
      <c r="H52" s="94" t="n">
        <v>6</v>
      </c>
      <c r="I52" s="94" t="n"/>
      <c r="J52" s="94" t="n"/>
      <c r="K52" s="148" t="inlineStr">
        <is>
          <t>Prototype Link</t>
        </is>
      </c>
      <c r="L52" s="94" t="n"/>
    </row>
    <row r="53" ht="15" customHeight="1" s="144">
      <c r="A53" s="94" t="n"/>
      <c r="B53" s="94" t="inlineStr">
        <is>
          <t>Patient Mobile – To Do</t>
        </is>
      </c>
      <c r="C53" s="94" t="inlineStr">
        <is>
          <t>Member To Do – Filters &amp; Completed</t>
        </is>
      </c>
      <c r="D53" s="97" t="inlineStr">
        <is>
          <t>As a Member, I should be able to filter my to-do list by All, Overdue, Upcoming or Completed, with a count on each, and see the items I’ve done recently.</t>
        </is>
      </c>
      <c r="E53" s="94" t="inlineStr">
        <is>
          <t>New</t>
        </is>
      </c>
      <c r="F53" s="94" t="inlineStr">
        <is>
          <t>Yes</t>
        </is>
      </c>
      <c r="G53" s="77" t="n">
        <v>8</v>
      </c>
      <c r="H53" s="94" t="n">
        <v>6</v>
      </c>
      <c r="I53" s="94" t="n"/>
      <c r="J53" s="94" t="n"/>
      <c r="K53" s="148" t="inlineStr">
        <is>
          <t>Prototype Link</t>
        </is>
      </c>
      <c r="L53" s="94" t="n"/>
    </row>
    <row r="54" ht="15" customHeight="1" s="144">
      <c r="A54" s="152" t="inlineStr">
        <is>
          <t>MY HEALTH RECORD &amp; BIOMARKERS</t>
        </is>
      </c>
      <c r="B54" s="147" t="n"/>
      <c r="C54" s="106" t="n"/>
      <c r="D54" s="80" t="n"/>
      <c r="E54" s="106" t="n"/>
      <c r="F54" s="106" t="n"/>
      <c r="G54" s="106" t="n"/>
      <c r="H54" s="106" t="n"/>
      <c r="I54" s="106" t="n"/>
      <c r="J54" s="106" t="n"/>
      <c r="K54" s="106" t="n"/>
      <c r="L54" s="106" t="n"/>
    </row>
    <row r="55" ht="15" customHeight="1" s="144">
      <c r="A55" s="94" t="n"/>
      <c r="B55" s="94" t="inlineStr">
        <is>
          <t>Health record</t>
        </is>
      </c>
      <c r="C55" s="94" t="inlineStr">
        <is>
          <t>Chronological record</t>
        </is>
      </c>
      <c r="D55" s="97" t="inlineStr">
        <is>
          <t>As a patient, I can view my longitudinal record (labs, vitals, meds, DEXA).</t>
        </is>
      </c>
      <c r="E55" s="94" t="inlineStr">
        <is>
          <t>Retained</t>
        </is>
      </c>
      <c r="F55" s="94" t="inlineStr">
        <is>
          <t>Yes</t>
        </is>
      </c>
      <c r="G55" s="87" t="n">
        <v>4</v>
      </c>
      <c r="H55" s="87" t="n">
        <v>6</v>
      </c>
      <c r="I55" s="94" t="n"/>
      <c r="J55" s="94" t="n"/>
      <c r="K55" s="148" t="inlineStr">
        <is>
          <t>Prototype Link</t>
        </is>
      </c>
      <c r="L55" s="94" t="n"/>
    </row>
    <row r="56" ht="15" customHeight="1" s="144">
      <c r="A56" s="94" t="n"/>
      <c r="B56" s="94" t="inlineStr">
        <is>
          <t>Health record</t>
        </is>
      </c>
      <c r="C56" s="94" t="inlineStr">
        <is>
          <t>Biomarker tracker</t>
        </is>
      </c>
      <c r="D56" s="97" t="inlineStr">
        <is>
          <t>As a patient, I can view biomarkers with value, target, trend, status.</t>
        </is>
      </c>
      <c r="E56" s="94" t="inlineStr">
        <is>
          <t>Retained</t>
        </is>
      </c>
      <c r="F56" s="94" t="inlineStr">
        <is>
          <t>Yes</t>
        </is>
      </c>
      <c r="G56" s="87" t="n">
        <v>6</v>
      </c>
      <c r="H56" s="87" t="n">
        <v>6</v>
      </c>
      <c r="I56" s="94" t="n"/>
      <c r="J56" s="94" t="n"/>
      <c r="K56" s="148" t="inlineStr">
        <is>
          <t>Prototype Link</t>
        </is>
      </c>
      <c r="L56" s="94" t="n"/>
    </row>
    <row r="57" ht="15" customHeight="1" s="144">
      <c r="A57" s="94" t="n"/>
      <c r="B57" s="94" t="inlineStr">
        <is>
          <t>Patient Mobile – Record</t>
        </is>
      </c>
      <c r="C57" s="94" t="inlineStr">
        <is>
          <t>Biomarker Details</t>
        </is>
      </c>
      <c r="D57" s="97" t="inlineStr">
        <is>
          <t>As a Patient, I should be able to open a biomarker and see its latest value against its range, how it has changed over time, and every result with its date and source.</t>
        </is>
      </c>
      <c r="E57" s="94" t="inlineStr">
        <is>
          <t>New</t>
        </is>
      </c>
      <c r="F57" s="94" t="inlineStr">
        <is>
          <t>Yes</t>
        </is>
      </c>
      <c r="G57" s="87" t="n">
        <v>6</v>
      </c>
      <c r="H57" s="87" t="n">
        <v>6</v>
      </c>
      <c r="I57" s="94" t="n"/>
      <c r="J57" s="94" t="n"/>
      <c r="K57" s="148" t="inlineStr">
        <is>
          <t>Prototype Link</t>
        </is>
      </c>
      <c r="L57" s="94" t="n"/>
    </row>
    <row r="58" ht="15" customHeight="1" s="144">
      <c r="A58" s="94" t="n"/>
      <c r="B58" s="94" t="inlineStr">
        <is>
          <t>Patient Mobile – Record</t>
        </is>
      </c>
      <c r="C58" s="94" t="inlineStr">
        <is>
          <t>Record tabs Details</t>
        </is>
      </c>
      <c r="D58" s="97" t="inlineStr">
        <is>
          <t>As a Patient, I should be able to open any item in my record, such as an imaging report, visit, condition or procedure, and see its details and source.</t>
        </is>
      </c>
      <c r="E58" s="94" t="inlineStr">
        <is>
          <t>New</t>
        </is>
      </c>
      <c r="F58" s="94" t="inlineStr">
        <is>
          <t>Yes</t>
        </is>
      </c>
      <c r="G58" s="87" t="n">
        <v>4</v>
      </c>
      <c r="H58" s="87" t="n">
        <v>6</v>
      </c>
      <c r="I58" s="94" t="n"/>
      <c r="J58" s="94" t="n"/>
      <c r="K58" s="148" t="inlineStr">
        <is>
          <t>Prototype Link</t>
        </is>
      </c>
      <c r="L58" s="94" t="n"/>
    </row>
    <row r="59" ht="15" customHeight="1" s="144">
      <c r="A59" s="94" t="n"/>
      <c r="B59" s="94" t="inlineStr">
        <is>
          <t>Patient Mobile – Record</t>
        </is>
      </c>
      <c r="C59" s="94" t="inlineStr">
        <is>
          <t>Record Sections</t>
        </is>
      </c>
      <c r="D59" s="97" t="inlineStr">
        <is>
          <t>As a Patient, I should be able to move between the sections of my record and see my conditions, visits, allergies, immunizations and procedures, and open any of them.</t>
        </is>
      </c>
      <c r="E59" s="94" t="inlineStr">
        <is>
          <t>New</t>
        </is>
      </c>
      <c r="F59" s="94" t="inlineStr">
        <is>
          <t>Yes</t>
        </is>
      </c>
      <c r="G59" s="87" t="n">
        <v>6</v>
      </c>
      <c r="H59" s="87" t="n">
        <v>6</v>
      </c>
      <c r="I59" s="94" t="n"/>
      <c r="J59" s="94" t="n"/>
      <c r="K59" s="148" t="inlineStr">
        <is>
          <t>Prototype Link</t>
        </is>
      </c>
      <c r="L59" s="94" t="n"/>
    </row>
    <row r="60" ht="15" customHeight="1" s="144">
      <c r="A60" s="94" t="n"/>
      <c r="B60" s="94" t="inlineStr">
        <is>
          <t>Health record</t>
        </is>
      </c>
      <c r="C60" s="94" t="inlineStr">
        <is>
          <t>Gauge view &amp; filters</t>
        </is>
      </c>
      <c r="D60" s="97" t="inlineStr">
        <is>
          <t>As a patient, I can see each marker on a gauge and filter by status.</t>
        </is>
      </c>
      <c r="E60" s="94" t="inlineStr">
        <is>
          <t>Removed</t>
        </is>
      </c>
      <c r="F60" s="94" t="inlineStr">
        <is>
          <t>No</t>
        </is>
      </c>
      <c r="G60" s="87" t="n">
        <v>4</v>
      </c>
      <c r="H60" s="87" t="n">
        <v>6</v>
      </c>
      <c r="I60" s="94" t="n"/>
      <c r="J60" s="94" t="n"/>
      <c r="K60" s="94" t="n"/>
      <c r="L60" s="94" t="n"/>
    </row>
    <row r="61" ht="15" customHeight="1" s="144">
      <c r="A61" s="94" t="n"/>
      <c r="B61" s="94" t="inlineStr">
        <is>
          <t>Patient Mobile – Record</t>
        </is>
      </c>
      <c r="C61" s="94" t="inlineStr">
        <is>
          <t>Medicines</t>
        </is>
      </c>
      <c r="D61" s="97" t="inlineStr">
        <is>
          <t>As a Patient, I should see my medicines and supplements by status, open any of them to see its details and any record that lists it differently, and confirm how I take it.</t>
        </is>
      </c>
      <c r="E61" s="94" t="inlineStr">
        <is>
          <t>New</t>
        </is>
      </c>
      <c r="F61" s="94" t="inlineStr">
        <is>
          <t>Yes</t>
        </is>
      </c>
      <c r="G61" s="87" t="n">
        <v>6</v>
      </c>
      <c r="H61" s="87" t="n">
        <v>6</v>
      </c>
      <c r="I61" s="94" t="n"/>
      <c r="J61" s="94" t="n"/>
      <c r="K61" s="148" t="inlineStr">
        <is>
          <t>Prototype Link</t>
        </is>
      </c>
      <c r="L61" s="94" t="n"/>
    </row>
    <row r="62" ht="15" customHeight="1" s="144">
      <c r="A62" s="94" t="n"/>
      <c r="B62" s="94" t="inlineStr">
        <is>
          <t>Patient Mobile – Record</t>
        </is>
      </c>
      <c r="C62" s="94" t="inlineStr">
        <is>
          <t>Add to Record – Supplement</t>
        </is>
      </c>
      <c r="D62" s="97" t="inlineStr">
        <is>
          <t>As a Patient, I should be able to add a supplement to my record by photo (taking one, choosing one or uploading a file) or by typing it in, review what was read and any interaction warning, and confirm how I take it.</t>
        </is>
      </c>
      <c r="E62" s="94" t="inlineStr">
        <is>
          <t>New</t>
        </is>
      </c>
      <c r="F62" s="94" t="inlineStr">
        <is>
          <t>Yes</t>
        </is>
      </c>
      <c r="G62" s="87" t="n">
        <v>6</v>
      </c>
      <c r="H62" s="94" t="n">
        <v>8</v>
      </c>
      <c r="I62" s="94" t="n"/>
      <c r="J62" s="94" t="n"/>
      <c r="K62" s="148" t="inlineStr">
        <is>
          <t>Prototype Link</t>
        </is>
      </c>
      <c r="L62" s="94" t="n"/>
    </row>
    <row r="63" ht="15" customHeight="1" s="144">
      <c r="A63" s="94" t="n"/>
      <c r="B63" s="94" t="inlineStr">
        <is>
          <t>Patient Mobile – Record</t>
        </is>
      </c>
      <c r="C63" s="94" t="inlineStr">
        <is>
          <t>Add to Record – Allergy</t>
        </is>
      </c>
      <c r="D63" s="97" t="inlineStr">
        <is>
          <t>As a Patient, I should be able to add an allergy to my record by photo or by typing it in, review it and save it.</t>
        </is>
      </c>
      <c r="E63" s="94" t="inlineStr">
        <is>
          <t>New</t>
        </is>
      </c>
      <c r="F63" s="94" t="inlineStr">
        <is>
          <t>Yes</t>
        </is>
      </c>
      <c r="G63" s="87" t="n">
        <v>4</v>
      </c>
      <c r="H63" s="94" t="n">
        <v>6</v>
      </c>
      <c r="I63" s="94" t="n"/>
      <c r="J63" s="94" t="n"/>
      <c r="K63" s="148" t="inlineStr">
        <is>
          <t>Prototype Link</t>
        </is>
      </c>
      <c r="L63" s="94" t="n"/>
    </row>
    <row r="64" ht="15" customHeight="1" s="144">
      <c r="A64" s="94" t="n"/>
      <c r="B64" s="94" t="inlineStr">
        <is>
          <t>Patient Mobile – Record</t>
        </is>
      </c>
      <c r="C64" s="94" t="inlineStr">
        <is>
          <t>Add to Record – Condition</t>
        </is>
      </c>
      <c r="D64" s="97" t="inlineStr">
        <is>
          <t>As a Patient, I should be able to add a condition to my record by photo or by typing it in, review it and save it.</t>
        </is>
      </c>
      <c r="E64" s="94" t="inlineStr">
        <is>
          <t>New</t>
        </is>
      </c>
      <c r="F64" s="94" t="inlineStr">
        <is>
          <t>Yes</t>
        </is>
      </c>
      <c r="G64" s="87" t="n">
        <v>2</v>
      </c>
      <c r="H64" s="94" t="n">
        <v>4</v>
      </c>
      <c r="I64" s="94" t="n"/>
      <c r="J64" s="94" t="n"/>
      <c r="K64" s="148" t="inlineStr">
        <is>
          <t>Prototype Link</t>
        </is>
      </c>
      <c r="L64" s="94" t="n"/>
    </row>
    <row r="65" ht="15" customHeight="1" s="144">
      <c r="A65" s="94" t="n"/>
      <c r="B65" s="94" t="inlineStr">
        <is>
          <t>Patient Mobile – Record</t>
        </is>
      </c>
      <c r="C65" s="94" t="inlineStr">
        <is>
          <t>Add to Record – Visit</t>
        </is>
      </c>
      <c r="D65" s="97" t="inlineStr">
        <is>
          <t>As a Patient, I should be able to add a visit to my record by photo or by typing it in, review it and save it.</t>
        </is>
      </c>
      <c r="E65" s="94" t="inlineStr">
        <is>
          <t>New</t>
        </is>
      </c>
      <c r="F65" s="94" t="inlineStr">
        <is>
          <t>Yes</t>
        </is>
      </c>
      <c r="G65" s="87" t="n">
        <v>2</v>
      </c>
      <c r="H65" s="94" t="n">
        <v>4</v>
      </c>
      <c r="I65" s="94" t="n"/>
      <c r="J65" s="94" t="n"/>
      <c r="K65" s="148" t="inlineStr">
        <is>
          <t>Prototype Link</t>
        </is>
      </c>
      <c r="L65" s="94" t="n"/>
    </row>
    <row r="66" ht="15" customHeight="1" s="144">
      <c r="A66" s="94" t="n"/>
      <c r="B66" s="94" t="inlineStr">
        <is>
          <t>Patient Mobile – Record</t>
        </is>
      </c>
      <c r="C66" s="94" t="inlineStr">
        <is>
          <t>Add to Record – Test Result</t>
        </is>
      </c>
      <c r="D66" s="97" t="inlineStr">
        <is>
          <t>As a Patient, I should be able to add a test result to my record by photo or by typing it in, review it and save it.</t>
        </is>
      </c>
      <c r="E66" s="94" t="inlineStr">
        <is>
          <t>New</t>
        </is>
      </c>
      <c r="F66" s="94" t="inlineStr">
        <is>
          <t>Yes</t>
        </is>
      </c>
      <c r="G66" s="87" t="n">
        <v>2</v>
      </c>
      <c r="H66" s="94" t="n">
        <v>6</v>
      </c>
      <c r="I66" s="94" t="n"/>
      <c r="J66" s="94" t="n"/>
      <c r="K66" s="148" t="inlineStr">
        <is>
          <t>Prototype Link</t>
        </is>
      </c>
      <c r="L66" s="94" t="n"/>
    </row>
    <row r="67" ht="15" customHeight="1" s="144">
      <c r="A67" s="152" t="inlineStr">
        <is>
          <t>PLAN &amp; TASKS</t>
        </is>
      </c>
      <c r="B67" s="147" t="n"/>
      <c r="C67" s="106" t="n"/>
      <c r="D67" s="80" t="n"/>
      <c r="E67" s="106" t="n"/>
      <c r="F67" s="106" t="n"/>
      <c r="G67" s="106" t="n"/>
      <c r="H67" s="106" t="n"/>
      <c r="I67" s="106" t="n"/>
      <c r="J67" s="106" t="n"/>
      <c r="K67" s="106" t="n"/>
      <c r="L67" s="106" t="n"/>
    </row>
    <row r="68" ht="15" customHeight="1" s="144">
      <c r="A68" s="94" t="n"/>
      <c r="B68" s="87" t="inlineStr">
        <is>
          <t>Plan &amp; tasks</t>
        </is>
      </c>
      <c r="C68" s="87" t="inlineStr">
        <is>
          <t>Daily/weekly actions</t>
        </is>
      </c>
      <c r="D68" s="84" t="inlineStr">
        <is>
          <t>As a patient, I can see my lifestyle plan and tasks.</t>
        </is>
      </c>
      <c r="E68" s="94" t="inlineStr">
        <is>
          <t>Removed</t>
        </is>
      </c>
      <c r="F68" s="94" t="inlineStr">
        <is>
          <t>No</t>
        </is>
      </c>
      <c r="G68" s="87" t="n">
        <v>4</v>
      </c>
      <c r="H68" s="87" t="n">
        <v>6</v>
      </c>
      <c r="I68" s="94" t="n"/>
      <c r="J68" s="94" t="n"/>
      <c r="K68" s="94" t="n"/>
      <c r="L68" s="94" t="n"/>
    </row>
    <row r="69" ht="15" customHeight="1" s="144">
      <c r="A69" s="94" t="n"/>
      <c r="B69" s="87" t="inlineStr">
        <is>
          <t>Plan &amp; tasks</t>
        </is>
      </c>
      <c r="C69" s="87" t="inlineStr">
        <is>
          <t>Check-ins</t>
        </is>
      </c>
      <c r="D69" s="84" t="inlineStr">
        <is>
          <t>As a patient, I can complete morning/evening check-ins.</t>
        </is>
      </c>
      <c r="E69" s="94" t="inlineStr">
        <is>
          <t>Removed</t>
        </is>
      </c>
      <c r="F69" s="94" t="inlineStr">
        <is>
          <t>No</t>
        </is>
      </c>
      <c r="G69" s="87" t="n">
        <v>2</v>
      </c>
      <c r="H69" s="87" t="n">
        <v>4</v>
      </c>
      <c r="I69" s="94" t="n"/>
      <c r="J69" s="94" t="n"/>
      <c r="K69" s="94" t="n"/>
      <c r="L69" s="94" t="n"/>
    </row>
    <row r="70" ht="15" customHeight="1" s="144">
      <c r="A70" s="94" t="n"/>
      <c r="B70" s="87" t="inlineStr">
        <is>
          <t>Plan &amp; tasks</t>
        </is>
      </c>
      <c r="C70" s="87" t="inlineStr">
        <is>
          <t>Adherence logging</t>
        </is>
      </c>
      <c r="D70" s="84" t="inlineStr">
        <is>
          <t>As a patient, I can log adherence to my plan.</t>
        </is>
      </c>
      <c r="E70" s="94" t="inlineStr">
        <is>
          <t>Removed</t>
        </is>
      </c>
      <c r="F70" s="94" t="inlineStr">
        <is>
          <t>No</t>
        </is>
      </c>
      <c r="G70" s="87" t="n">
        <v>2</v>
      </c>
      <c r="H70" s="87" t="n">
        <v>4</v>
      </c>
      <c r="I70" s="94" t="n"/>
      <c r="J70" s="94" t="n"/>
      <c r="K70" s="94" t="n"/>
      <c r="L70" s="94" t="n"/>
    </row>
    <row r="71" ht="15" customHeight="1" s="144">
      <c r="A71" s="94" t="n"/>
      <c r="B71" s="87" t="inlineStr">
        <is>
          <t>Plan &amp; tasks</t>
        </is>
      </c>
      <c r="C71" s="87" t="inlineStr">
        <is>
          <t>Mindfulness &amp; stress</t>
        </is>
      </c>
      <c r="D71" s="84" t="inlineStr">
        <is>
          <t>As a patient, I can access guided mindfulness and stress-management content.</t>
        </is>
      </c>
      <c r="E71" s="94" t="inlineStr">
        <is>
          <t>Removed</t>
        </is>
      </c>
      <c r="F71" s="94" t="inlineStr">
        <is>
          <t>No</t>
        </is>
      </c>
      <c r="G71" s="87" t="n">
        <v>4</v>
      </c>
      <c r="H71" s="87" t="n">
        <v>4</v>
      </c>
      <c r="I71" s="94" t="n"/>
      <c r="J71" s="94" t="n"/>
      <c r="K71" s="94" t="n"/>
      <c r="L71" s="94" t="n"/>
    </row>
    <row r="72" ht="15" customHeight="1" s="144">
      <c r="A72" s="94" t="n"/>
      <c r="B72" s="94" t="inlineStr">
        <is>
          <t>Patient Mobile – Plan</t>
        </is>
      </c>
      <c r="C72" s="94" t="inlineStr">
        <is>
          <t>Plan Overview</t>
        </is>
      </c>
      <c r="D72" s="97" t="inlineStr">
        <is>
          <t>As a Member, I should see my personalized care plan for today, with each of today’s goals across my plan areas and how many I’ve completed, and move between Today, History, Progress and Outlook.</t>
        </is>
      </c>
      <c r="E72" s="94" t="inlineStr">
        <is>
          <t>New</t>
        </is>
      </c>
      <c r="F72" s="94" t="inlineStr">
        <is>
          <t>Yes</t>
        </is>
      </c>
      <c r="G72" s="87" t="n">
        <v>6</v>
      </c>
      <c r="H72" s="94" t="n">
        <v>6</v>
      </c>
      <c r="I72" s="94" t="n"/>
      <c r="J72" s="94" t="n"/>
      <c r="K72" s="148" t="inlineStr">
        <is>
          <t>Prototype Link</t>
        </is>
      </c>
      <c r="L72" s="94" t="n"/>
    </row>
    <row r="73" ht="15" customHeight="1" s="144">
      <c r="A73" s="94" t="n"/>
      <c r="B73" s="94" t="inlineStr">
        <is>
          <t>Patient Mobile – Plan</t>
        </is>
      </c>
      <c r="C73" s="94" t="inlineStr">
        <is>
          <t>Today – Exercise – Session &amp; Logging</t>
        </is>
      </c>
      <c r="D73" s="97" t="inlineStr">
        <is>
          <t>As a Member, I should be able to open today’s exercise session, watch how to do each move, and mark it done as written or log the parts I did, changed or skipped.</t>
        </is>
      </c>
      <c r="E73" s="94" t="inlineStr">
        <is>
          <t>New</t>
        </is>
      </c>
      <c r="F73" s="94" t="inlineStr">
        <is>
          <t>Yes</t>
        </is>
      </c>
      <c r="G73" s="87" t="n">
        <v>6</v>
      </c>
      <c r="H73" s="94" t="n">
        <v>6</v>
      </c>
      <c r="I73" s="94" t="n"/>
      <c r="J73" s="94" t="n"/>
      <c r="K73" s="148" t="inlineStr">
        <is>
          <t>Prototype Link</t>
        </is>
      </c>
      <c r="L73" s="94" t="n"/>
    </row>
    <row r="74" ht="15" customHeight="1" s="144">
      <c r="A74" s="94" t="n"/>
      <c r="B74" s="94" t="inlineStr">
        <is>
          <t>Patient Mobile – Plan</t>
        </is>
      </c>
      <c r="C74" s="94" t="inlineStr">
        <is>
          <t>Today – Exercise – Easier Version or Own Programme</t>
        </is>
      </c>
      <c r="D74" s="97" t="inlineStr">
        <is>
          <t>As a Member, I should be able to ask Inlay for an easier version of today’s session by saying or typing why, or upload my own exercise programme to use in my plan.</t>
        </is>
      </c>
      <c r="E74" s="94" t="inlineStr">
        <is>
          <t>New</t>
        </is>
      </c>
      <c r="F74" s="94" t="inlineStr">
        <is>
          <t>Yes</t>
        </is>
      </c>
      <c r="G74" s="87" t="n">
        <v>6</v>
      </c>
      <c r="H74" s="94" t="n">
        <v>6</v>
      </c>
      <c r="I74" s="94" t="n"/>
      <c r="J74" s="94" t="n"/>
      <c r="K74" s="148" t="inlineStr">
        <is>
          <t>Prototype Link</t>
        </is>
      </c>
      <c r="L74" s="94" t="n"/>
    </row>
    <row r="75" ht="15" customHeight="1" s="144">
      <c r="A75" s="94" t="n"/>
      <c r="B75" s="94" t="inlineStr">
        <is>
          <t>Patient Mobile – Plan</t>
        </is>
      </c>
      <c r="C75" s="94" t="inlineStr">
        <is>
          <t>Today – Eat – Today’s Meals &amp; Logging</t>
        </is>
      </c>
      <c r="D75" s="97" t="inlineStr">
        <is>
          <t>As a Member, I should see today’s nutrition targets and the meals I’ve logged, and log a meal by photo and description (typed or spoken), by scanning a barcode, or by importing from another app.</t>
        </is>
      </c>
      <c r="E75" s="94" t="inlineStr">
        <is>
          <t>New</t>
        </is>
      </c>
      <c r="F75" s="94" t="inlineStr">
        <is>
          <t>Yes</t>
        </is>
      </c>
      <c r="G75" s="87" t="n">
        <v>6</v>
      </c>
      <c r="H75" s="94" t="n">
        <v>8</v>
      </c>
      <c r="I75" s="94" t="n"/>
      <c r="J75" s="94" t="n"/>
      <c r="K75" s="148" t="inlineStr">
        <is>
          <t>Prototype Link</t>
        </is>
      </c>
      <c r="L75" s="94" t="n"/>
    </row>
    <row r="76" ht="15" customHeight="1" s="144">
      <c r="A76" s="94" t="n"/>
      <c r="B76" s="94" t="inlineStr">
        <is>
          <t>Patient Mobile – Plan</t>
        </is>
      </c>
      <c r="C76" s="94" t="inlineStr">
        <is>
          <t>Today – Eat – Diet Plan</t>
        </is>
      </c>
      <c r="D76" s="97" t="inlineStr">
        <is>
          <t>As a Member, I should see my daily nutrition targets, what I’ve logged so far today, today’s focus and my planned meals, and log any meal from there.</t>
        </is>
      </c>
      <c r="E76" s="94" t="inlineStr">
        <is>
          <t>New</t>
        </is>
      </c>
      <c r="F76" s="94" t="inlineStr">
        <is>
          <t>Yes</t>
        </is>
      </c>
      <c r="G76" s="94" t="n">
        <v>4</v>
      </c>
      <c r="H76" s="94" t="n">
        <v>6</v>
      </c>
      <c r="I76" s="94" t="n"/>
      <c r="J76" s="94" t="n"/>
      <c r="K76" s="148" t="inlineStr">
        <is>
          <t>Prototype Link</t>
        </is>
      </c>
      <c r="L76" s="94" t="n"/>
    </row>
    <row r="77" ht="15" customHeight="1" s="144">
      <c r="A77" s="94" t="n"/>
      <c r="B77" s="59" t="inlineStr">
        <is>
          <t>Patient Mobile – Plan</t>
        </is>
      </c>
      <c r="C77" s="59" t="inlineStr">
        <is>
          <t>Today – Eat – Drinks &amp; History</t>
        </is>
      </c>
      <c r="D77" s="61" t="inlineStr">
        <is>
          <t>As a Member, I should be able to log the drinks I had at one sitting, and see my eating and drinking trends over time against my targets and limits.</t>
        </is>
      </c>
      <c r="E77" s="94" t="inlineStr">
        <is>
          <t>New</t>
        </is>
      </c>
      <c r="F77" s="94" t="inlineStr">
        <is>
          <t>Yes</t>
        </is>
      </c>
      <c r="G77" s="87" t="n">
        <v>4</v>
      </c>
      <c r="H77" s="94" t="n">
        <v>4</v>
      </c>
      <c r="I77" s="94" t="n"/>
      <c r="J77" s="94" t="n"/>
      <c r="K77" s="148" t="inlineStr">
        <is>
          <t>Prototype Link</t>
        </is>
      </c>
      <c r="L77" s="94" t="n"/>
    </row>
    <row r="78" ht="15" customHeight="1" s="144">
      <c r="A78" s="94" t="n"/>
      <c r="B78" s="94" t="inlineStr">
        <is>
          <t>Patient Mobile – Plan</t>
        </is>
      </c>
      <c r="C78" s="94" t="inlineStr">
        <is>
          <t>Today – Mind – Today’s Practice</t>
        </is>
      </c>
      <c r="D78" s="97" t="inlineStr">
        <is>
          <t>As a Member, I should be able to complete today’s guided mind practice or a shorter version, ask Inlay to swap a practice that isn’t working, or log my own practice instead.</t>
        </is>
      </c>
      <c r="E78" s="94" t="inlineStr">
        <is>
          <t>New</t>
        </is>
      </c>
      <c r="F78" s="94" t="inlineStr">
        <is>
          <t>Yes</t>
        </is>
      </c>
      <c r="G78" s="87" t="n">
        <v>6</v>
      </c>
      <c r="H78" s="94" t="n">
        <v>6</v>
      </c>
      <c r="I78" s="94" t="n"/>
      <c r="J78" s="94" t="n"/>
      <c r="K78" s="148" t="inlineStr">
        <is>
          <t>Prototype Link</t>
        </is>
      </c>
      <c r="L78" s="94" t="n"/>
    </row>
    <row r="79" ht="15" customHeight="1" s="144">
      <c r="A79" s="94" t="n"/>
      <c r="B79" s="94" t="inlineStr">
        <is>
          <t>Patient Mobile – Plan</t>
        </is>
      </c>
      <c r="C79" s="94" t="inlineStr">
        <is>
          <t>Today – Medication</t>
        </is>
      </c>
      <c r="D79" s="97" t="inlineStr">
        <is>
          <t>As a Member, I should see today’s medicines and supplements with any interactions, mark doses taken, report a side effect to my physician, and add a new medicine or supplement to my record.</t>
        </is>
      </c>
      <c r="E79" s="94" t="inlineStr">
        <is>
          <t>New</t>
        </is>
      </c>
      <c r="F79" s="94" t="inlineStr">
        <is>
          <t>Yes</t>
        </is>
      </c>
      <c r="G79" s="87" t="n">
        <v>4</v>
      </c>
      <c r="H79" s="94" t="n">
        <v>6</v>
      </c>
      <c r="I79" s="94" t="n"/>
      <c r="J79" s="94" t="n"/>
      <c r="K79" s="148" t="inlineStr">
        <is>
          <t>Prototype Link</t>
        </is>
      </c>
      <c r="L79" s="94" t="n"/>
    </row>
    <row r="80" ht="15" customHeight="1" s="144">
      <c r="A80" s="94" t="n"/>
      <c r="B80" s="94" t="inlineStr">
        <is>
          <t>Patient Mobile – Plan</t>
        </is>
      </c>
      <c r="C80" s="94" t="inlineStr">
        <is>
          <t>Today – Measure</t>
        </is>
      </c>
      <c r="D80" s="97" t="inlineStr">
        <is>
          <t>As a Member, I should be able to enter today’s body measurements with a guide on how to measure, skip today and tell Inlay why, or connect a scale or blood pressure cuff.</t>
        </is>
      </c>
      <c r="E80" s="94" t="inlineStr">
        <is>
          <t>New</t>
        </is>
      </c>
      <c r="F80" s="94" t="inlineStr">
        <is>
          <t>Yes</t>
        </is>
      </c>
      <c r="G80" s="87" t="n">
        <v>4</v>
      </c>
      <c r="H80" s="94" t="n">
        <v>6</v>
      </c>
      <c r="I80" s="94" t="n"/>
      <c r="J80" s="94" t="n"/>
      <c r="K80" s="148" t="inlineStr">
        <is>
          <t>Prototype Link</t>
        </is>
      </c>
      <c r="L80" s="94" t="n"/>
    </row>
    <row r="81" ht="15" customHeight="1" s="144">
      <c r="A81" s="94" t="n"/>
      <c r="B81" s="94" t="inlineStr">
        <is>
          <t>Patient Mobile – Plan</t>
        </is>
      </c>
      <c r="C81" s="94" t="inlineStr">
        <is>
          <t>Today – Sleep</t>
        </is>
      </c>
      <c r="D81" s="97" t="inlineStr">
        <is>
          <t>As a Member, I should see last night’s sleep score and what made it up against my sleep goal, follow tonight’s sleep window, log or adjust my sleep, or connect a sleep device.</t>
        </is>
      </c>
      <c r="E81" s="94" t="inlineStr">
        <is>
          <t>New</t>
        </is>
      </c>
      <c r="F81" s="94" t="inlineStr">
        <is>
          <t>Yes</t>
        </is>
      </c>
      <c r="G81" s="87" t="n">
        <v>4</v>
      </c>
      <c r="H81" s="94" t="n">
        <v>6</v>
      </c>
      <c r="I81" s="94" t="n"/>
      <c r="J81" s="94" t="n"/>
      <c r="K81" s="148" t="inlineStr">
        <is>
          <t>Prototype Link</t>
        </is>
      </c>
      <c r="L81" s="94" t="n"/>
    </row>
    <row r="82" ht="15" customHeight="1" s="144">
      <c r="A82" s="59" t="n"/>
      <c r="B82" s="94" t="inlineStr">
        <is>
          <t>Patient Mobile – Plan</t>
        </is>
      </c>
      <c r="C82" s="94" t="inlineStr">
        <is>
          <t>History – Overview</t>
        </is>
      </c>
      <c r="D82" s="97" t="inlineStr">
        <is>
          <t>As a Member, I should see yesterday’s overall score and each plan topic’s score against its goal, and open any of them for more detail.</t>
        </is>
      </c>
      <c r="E82" s="94" t="inlineStr">
        <is>
          <t>New</t>
        </is>
      </c>
      <c r="F82" s="94" t="inlineStr">
        <is>
          <t>Yes</t>
        </is>
      </c>
      <c r="G82" s="87" t="n">
        <v>4</v>
      </c>
      <c r="H82" s="94" t="n">
        <v>4</v>
      </c>
      <c r="I82" s="94" t="n"/>
      <c r="J82" s="94" t="n"/>
      <c r="K82" s="148" t="inlineStr">
        <is>
          <t>Prototype Link</t>
        </is>
      </c>
      <c r="L82" s="94" t="n"/>
    </row>
    <row r="83" ht="15" customHeight="1" s="144">
      <c r="A83" s="59" t="n"/>
      <c r="B83" s="94" t="inlineStr">
        <is>
          <t>Patient Mobile – Plan</t>
        </is>
      </c>
      <c r="C83" s="94" t="inlineStr">
        <is>
          <t>History – Yesterday</t>
        </is>
      </c>
      <c r="D83" s="97" t="inlineStr">
        <is>
          <t>As a Member, I should see a summary of yesterday’s energy balance, nutrition, movement and plan tasks.</t>
        </is>
      </c>
      <c r="E83" s="94" t="inlineStr">
        <is>
          <t>New</t>
        </is>
      </c>
      <c r="F83" s="94" t="inlineStr">
        <is>
          <t>Yes</t>
        </is>
      </c>
      <c r="G83" s="87" t="n">
        <v>4</v>
      </c>
      <c r="H83" s="94" t="n">
        <v>4</v>
      </c>
      <c r="I83" s="94" t="n"/>
      <c r="J83" s="94" t="n"/>
      <c r="K83" s="148" t="inlineStr">
        <is>
          <t>Prototype Link</t>
        </is>
      </c>
      <c r="L83" s="94" t="n"/>
    </row>
    <row r="84" ht="15" customHeight="1" s="144">
      <c r="A84" s="59" t="n"/>
      <c r="B84" s="94" t="inlineStr">
        <is>
          <t>Patient Mobile – Plan</t>
        </is>
      </c>
      <c r="C84" s="94" t="inlineStr">
        <is>
          <t>History – Your History</t>
        </is>
      </c>
      <c r="D84" s="97" t="inlineStr">
        <is>
          <t>As a Member, I should see my overall progress over time against my goals.</t>
        </is>
      </c>
      <c r="E84" s="94" t="inlineStr">
        <is>
          <t>New</t>
        </is>
      </c>
      <c r="F84" s="94" t="inlineStr">
        <is>
          <t>Yes</t>
        </is>
      </c>
      <c r="G84" s="87" t="n">
        <v>4</v>
      </c>
      <c r="H84" s="94" t="n">
        <v>6</v>
      </c>
      <c r="I84" s="94" t="n"/>
      <c r="J84" s="94" t="n"/>
      <c r="K84" s="148" t="inlineStr">
        <is>
          <t>Prototype Link</t>
        </is>
      </c>
      <c r="L84" s="94" t="n"/>
    </row>
    <row r="85" ht="15" customHeight="1" s="144">
      <c r="A85" s="59" t="n"/>
      <c r="B85" s="94" t="inlineStr">
        <is>
          <t>Patient Mobile – Plan</t>
        </is>
      </c>
      <c r="C85" s="94" t="inlineStr">
        <is>
          <t>History – Exercise &amp; Eat</t>
        </is>
      </c>
      <c r="D85" s="97" t="inlineStr">
        <is>
          <t>As a Member, I should see my exercise and eating trends over time against my goals.</t>
        </is>
      </c>
      <c r="E85" s="94" t="inlineStr">
        <is>
          <t>New</t>
        </is>
      </c>
      <c r="F85" s="94" t="inlineStr">
        <is>
          <t>Yes</t>
        </is>
      </c>
      <c r="G85" s="87" t="n">
        <v>4</v>
      </c>
      <c r="H85" s="94" t="n">
        <v>4</v>
      </c>
      <c r="I85" s="94" t="n"/>
      <c r="J85" s="94" t="n"/>
      <c r="K85" s="148" t="inlineStr">
        <is>
          <t>Prototype Link</t>
        </is>
      </c>
      <c r="L85" s="94" t="n"/>
    </row>
    <row r="86" ht="15" customHeight="1" s="144">
      <c r="A86" s="59" t="n"/>
      <c r="B86" s="94" t="inlineStr">
        <is>
          <t>Patient Mobile – Plan</t>
        </is>
      </c>
      <c r="C86" s="94" t="inlineStr">
        <is>
          <t>History – Sleep &amp; Mind</t>
        </is>
      </c>
      <c r="D86" s="97" t="inlineStr">
        <is>
          <t>As a Member, I should see my sleep and mind practice trends over time against my goals.</t>
        </is>
      </c>
      <c r="E86" s="94" t="inlineStr">
        <is>
          <t>New</t>
        </is>
      </c>
      <c r="F86" s="94" t="inlineStr">
        <is>
          <t>Yes</t>
        </is>
      </c>
      <c r="G86" s="87" t="n">
        <v>4</v>
      </c>
      <c r="H86" s="94" t="n">
        <v>4</v>
      </c>
      <c r="I86" s="94" t="n"/>
      <c r="J86" s="94" t="n"/>
      <c r="K86" s="148" t="inlineStr">
        <is>
          <t>Prototype Link</t>
        </is>
      </c>
      <c r="L86" s="94" t="n"/>
    </row>
    <row r="87" ht="15" customHeight="1" s="144">
      <c r="A87" s="59" t="n"/>
      <c r="B87" s="94" t="inlineStr">
        <is>
          <t>Patient Mobile – Plan</t>
        </is>
      </c>
      <c r="C87" s="94" t="inlineStr">
        <is>
          <t>History – Medication</t>
        </is>
      </c>
      <c r="D87" s="97" t="inlineStr">
        <is>
          <t>As a Member, I should see how well I’ve kept to my medicines over time against my goal.</t>
        </is>
      </c>
      <c r="E87" s="94" t="inlineStr">
        <is>
          <t>New</t>
        </is>
      </c>
      <c r="F87" s="94" t="inlineStr">
        <is>
          <t>Yes</t>
        </is>
      </c>
      <c r="G87" s="87" t="n">
        <v>2</v>
      </c>
      <c r="H87" s="94" t="n">
        <v>2</v>
      </c>
      <c r="I87" s="94" t="n"/>
      <c r="J87" s="94" t="n"/>
      <c r="K87" s="148" t="inlineStr">
        <is>
          <t>Prototype Link</t>
        </is>
      </c>
      <c r="L87" s="94" t="n"/>
    </row>
    <row r="88" ht="15" customHeight="1" s="144">
      <c r="A88" s="59" t="n"/>
      <c r="B88" s="94" t="inlineStr">
        <is>
          <t>Patient Mobile – Plan</t>
        </is>
      </c>
      <c r="C88" s="94" t="inlineStr">
        <is>
          <t>Progress – Overview</t>
        </is>
      </c>
      <c r="D88" s="97" t="inlineStr">
        <is>
          <t>As a Member, I should see my progress since I started my plan, with my key changes and body measurement trends against my goals, and ask Inlay about my progress.</t>
        </is>
      </c>
      <c r="E88" s="94" t="inlineStr">
        <is>
          <t>New</t>
        </is>
      </c>
      <c r="F88" s="94" t="inlineStr">
        <is>
          <t>Yes</t>
        </is>
      </c>
      <c r="G88" s="87" t="n">
        <v>2</v>
      </c>
      <c r="H88" s="94" t="n">
        <v>4</v>
      </c>
      <c r="I88" s="94" t="n"/>
      <c r="J88" s="94" t="n"/>
      <c r="K88" s="148" t="inlineStr">
        <is>
          <t>Prototype Link</t>
        </is>
      </c>
      <c r="L88" s="94" t="n"/>
    </row>
    <row r="89" ht="15" customHeight="1" s="144">
      <c r="A89" s="59" t="n"/>
      <c r="B89" s="94" t="inlineStr">
        <is>
          <t>Patient Mobile – Plan</t>
        </is>
      </c>
      <c r="C89" s="94" t="inlineStr">
        <is>
          <t>Progress – Add Weight</t>
        </is>
      </c>
      <c r="D89" s="97" t="inlineStr">
        <is>
          <t>As a Member, I should be able to add today’s weight with guidance on when to weigh in.</t>
        </is>
      </c>
      <c r="E89" s="94" t="inlineStr">
        <is>
          <t>New</t>
        </is>
      </c>
      <c r="F89" s="94" t="inlineStr">
        <is>
          <t>Yes</t>
        </is>
      </c>
      <c r="G89" s="87" t="n">
        <v>2</v>
      </c>
      <c r="H89" s="94" t="n">
        <v>2</v>
      </c>
      <c r="I89" s="94" t="n"/>
      <c r="J89" s="94" t="n"/>
      <c r="K89" s="148" t="inlineStr">
        <is>
          <t>Prototype Link</t>
        </is>
      </c>
      <c r="L89" s="94" t="n"/>
    </row>
    <row r="90" ht="15" customHeight="1" s="144">
      <c r="A90" s="59" t="n"/>
      <c r="B90" s="94" t="inlineStr">
        <is>
          <t>Patient Mobile – Plan</t>
        </is>
      </c>
      <c r="C90" s="94" t="inlineStr">
        <is>
          <t>Outlook – Projection</t>
        </is>
      </c>
      <c r="D90" s="97" t="inlineStr">
        <is>
          <t>As a Member, I should see where I’m likely to be by a future date if I keep my current pace, what the projection assumes, and ask Inlay where I’ll be if I stay the course.</t>
        </is>
      </c>
      <c r="E90" s="94" t="inlineStr">
        <is>
          <t>New</t>
        </is>
      </c>
      <c r="F90" s="94" t="inlineStr">
        <is>
          <t>Yes</t>
        </is>
      </c>
      <c r="G90" s="87" t="n">
        <v>4</v>
      </c>
      <c r="H90" s="94" t="n">
        <v>6</v>
      </c>
      <c r="I90" s="94" t="n"/>
      <c r="J90" s="94" t="n"/>
      <c r="K90" s="148" t="inlineStr">
        <is>
          <t>Prototype Link</t>
        </is>
      </c>
      <c r="L90" s="94" t="n"/>
    </row>
    <row r="91" ht="15" customHeight="1" s="144">
      <c r="A91" s="152" t="inlineStr">
        <is>
          <t>OPTIMIZATION PACKAGES/ PLAN</t>
        </is>
      </c>
      <c r="B91" s="147" t="n"/>
      <c r="C91" s="106" t="n"/>
      <c r="D91" s="80" t="n"/>
      <c r="E91" s="106" t="n"/>
      <c r="F91" s="106" t="n"/>
      <c r="G91" s="106" t="n"/>
      <c r="H91" s="106" t="n"/>
      <c r="I91" s="106" t="n"/>
      <c r="J91" s="106" t="n"/>
      <c r="K91" s="106" t="n"/>
      <c r="L91" s="106" t="n"/>
    </row>
    <row r="92" ht="15" customHeight="1" s="144">
      <c r="A92" s="59" t="n"/>
      <c r="B92" s="59" t="inlineStr">
        <is>
          <t>Packages</t>
        </is>
      </c>
      <c r="C92" s="59" t="inlineStr">
        <is>
          <t>Enroll in package</t>
        </is>
      </c>
      <c r="D92" s="61" t="inlineStr">
        <is>
          <t>As a patient, I can enroll in a goal-specific optimization package (body composition, metabolic, or cardiovascular/lipid).</t>
        </is>
      </c>
      <c r="E92" s="94" t="inlineStr">
        <is>
          <t>Retained</t>
        </is>
      </c>
      <c r="F92" s="94" t="inlineStr">
        <is>
          <t>Yes</t>
        </is>
      </c>
      <c r="G92" s="87" t="n">
        <v>6</v>
      </c>
      <c r="H92" s="94" t="n">
        <v>6</v>
      </c>
      <c r="I92" s="94" t="n"/>
      <c r="J92" s="94" t="n"/>
      <c r="K92" s="148" t="inlineStr">
        <is>
          <t>Prototype Link</t>
        </is>
      </c>
      <c r="L92" s="94" t="n"/>
    </row>
    <row r="93" ht="15" customHeight="1" s="144">
      <c r="A93" s="94" t="n"/>
      <c r="B93" s="94" t="inlineStr">
        <is>
          <t>Patient Mobile – Upgrade</t>
        </is>
      </c>
      <c r="C93" s="94" t="inlineStr">
        <is>
          <t>Start Your Plan</t>
        </is>
      </c>
      <c r="D93" s="97" t="inlineStr">
        <is>
          <t>As a Patient, I should be able to start setting up my personalized plan from the Upgrade tab.</t>
        </is>
      </c>
      <c r="E93" s="94" t="inlineStr">
        <is>
          <t>New</t>
        </is>
      </c>
      <c r="F93" s="94" t="inlineStr">
        <is>
          <t>Yes</t>
        </is>
      </c>
      <c r="G93" s="87" t="n">
        <v>6</v>
      </c>
      <c r="H93" s="94" t="n">
        <v>2</v>
      </c>
      <c r="I93" s="94" t="n"/>
      <c r="J93" s="94" t="n"/>
      <c r="K93" s="148" t="inlineStr">
        <is>
          <t>Prototype Link</t>
        </is>
      </c>
      <c r="L93" s="94" t="n"/>
    </row>
    <row r="94" ht="15" customHeight="1" s="144">
      <c r="A94" s="94" t="n"/>
      <c r="B94" s="94" t="inlineStr">
        <is>
          <t>Patient Mobile – Upgrade</t>
        </is>
      </c>
      <c r="C94" s="94" t="inlineStr">
        <is>
          <t>You’re Enrolled</t>
        </is>
      </c>
      <c r="D94" s="97" t="inlineStr">
        <is>
          <t>As a Patient, I should see that I’m enrolled, my plan and price, what happens next and choose to schedule my tests now or later.</t>
        </is>
      </c>
      <c r="E94" s="94" t="inlineStr">
        <is>
          <t>New</t>
        </is>
      </c>
      <c r="F94" s="94" t="inlineStr">
        <is>
          <t>Yes</t>
        </is>
      </c>
      <c r="G94" s="87" t="n">
        <v>6</v>
      </c>
      <c r="H94" s="94" t="n">
        <v>6</v>
      </c>
      <c r="I94" s="94" t="n"/>
      <c r="J94" s="94" t="n"/>
      <c r="K94" s="148" t="inlineStr">
        <is>
          <t>Prototype Link</t>
        </is>
      </c>
      <c r="L94" s="94" t="n"/>
    </row>
    <row r="95" ht="15" customHeight="1" s="144">
      <c r="A95" s="94" t="n"/>
      <c r="B95" s="94" t="inlineStr">
        <is>
          <t>Packages</t>
        </is>
      </c>
      <c r="C95" s="94" t="inlineStr">
        <is>
          <t>Bundled diagnostics</t>
        </is>
      </c>
      <c r="D95" s="97" t="inlineStr">
        <is>
          <t>As a patient, enrolling in a package includes and prompts its bundled tests (e.g. DEXA and RMR for body composition).</t>
        </is>
      </c>
      <c r="E95" s="94" t="inlineStr">
        <is>
          <t>Retained</t>
        </is>
      </c>
      <c r="F95" s="94" t="inlineStr">
        <is>
          <t>Yes</t>
        </is>
      </c>
      <c r="G95" s="87" t="n">
        <v>6</v>
      </c>
      <c r="H95" s="94" t="n">
        <v>6</v>
      </c>
      <c r="I95" s="94" t="n"/>
      <c r="J95" s="94" t="n"/>
      <c r="K95" s="148" t="inlineStr">
        <is>
          <t>Prototype Link</t>
        </is>
      </c>
      <c r="L95" s="94" t="n"/>
    </row>
    <row r="96" ht="15" customHeight="1" s="144">
      <c r="A96" s="94" t="n"/>
      <c r="B96" s="94" t="inlineStr">
        <is>
          <t>Patient Mobile – Upgrade</t>
        </is>
      </c>
      <c r="C96" s="94" t="inlineStr">
        <is>
          <t>Establish Your Baseline</t>
        </is>
      </c>
      <c r="D96" s="97" t="inlineStr">
        <is>
          <t>As a Patient, I should see the baseline tests my plan needs with their prices and a “Why?” explanation, be able to select or skip each one, see that skipped tests mean my plan uses averages, and see the total.</t>
        </is>
      </c>
      <c r="E96" s="94" t="inlineStr">
        <is>
          <t>New</t>
        </is>
      </c>
      <c r="F96" s="94" t="inlineStr">
        <is>
          <t>Yes</t>
        </is>
      </c>
      <c r="G96" s="87" t="n">
        <v>6</v>
      </c>
      <c r="H96" s="94" t="n">
        <v>6</v>
      </c>
      <c r="I96" s="94" t="n"/>
      <c r="J96" s="94" t="n"/>
      <c r="K96" s="148" t="inlineStr">
        <is>
          <t>Prototype Link</t>
        </is>
      </c>
      <c r="L96" s="94" t="n"/>
    </row>
    <row r="97" ht="15" customHeight="1" s="144">
      <c r="A97" s="94" t="n"/>
      <c r="B97" s="94" t="inlineStr">
        <is>
          <t>Patient Mobile – Upgrade</t>
        </is>
      </c>
      <c r="C97" s="94" t="inlineStr">
        <is>
          <t>Schedule Your Tests</t>
        </is>
      </c>
      <c r="D97" s="97" t="inlineStr">
        <is>
          <t>As a Patient, I should be able to pick a date and time for each baseline test at its location from the available dates, and confirm my schedule.</t>
        </is>
      </c>
      <c r="E97" s="94" t="inlineStr">
        <is>
          <t>New</t>
        </is>
      </c>
      <c r="F97" s="94" t="inlineStr">
        <is>
          <t>Yes</t>
        </is>
      </c>
      <c r="G97" s="87" t="n">
        <v>8</v>
      </c>
      <c r="H97" s="94" t="n">
        <v>8</v>
      </c>
      <c r="I97" s="94" t="n"/>
      <c r="J97" s="94" t="n"/>
      <c r="K97" s="148" t="inlineStr">
        <is>
          <t>Prototype Link</t>
        </is>
      </c>
      <c r="L97" s="94" t="n"/>
    </row>
    <row r="98" ht="15" customHeight="1" s="144">
      <c r="A98" s="94" t="n"/>
      <c r="B98" s="94" t="inlineStr">
        <is>
          <t>Packages</t>
        </is>
      </c>
      <c r="C98" s="94" t="inlineStr">
        <is>
          <t>Package progress</t>
        </is>
      </c>
      <c r="D98" s="97" t="inlineStr">
        <is>
          <t>As a patient, I can track testing and progress within my package.</t>
        </is>
      </c>
      <c r="E98" s="94" t="inlineStr">
        <is>
          <t>Retained</t>
        </is>
      </c>
      <c r="F98" s="94" t="inlineStr">
        <is>
          <t>Yes</t>
        </is>
      </c>
      <c r="G98" s="87" t="n">
        <v>6</v>
      </c>
      <c r="H98" s="94" t="n">
        <v>6</v>
      </c>
      <c r="I98" s="94" t="n"/>
      <c r="J98" s="94" t="n"/>
      <c r="K98" s="148" t="inlineStr">
        <is>
          <t>Prototype Link</t>
        </is>
      </c>
      <c r="L98" s="94" t="n"/>
    </row>
    <row r="99" ht="15" customHeight="1" s="144">
      <c r="A99" s="94" t="n"/>
      <c r="B99" s="94" t="inlineStr">
        <is>
          <t>Packages</t>
        </is>
      </c>
      <c r="C99" s="94" t="inlineStr">
        <is>
          <t>Results to record</t>
        </is>
      </c>
      <c r="D99" s="97" t="inlineStr">
        <is>
          <t>As the system, package diagnostic results flow into the record and inform AI recommendations.</t>
        </is>
      </c>
      <c r="E99" s="94" t="inlineStr">
        <is>
          <t>Retained</t>
        </is>
      </c>
      <c r="F99" s="94" t="inlineStr">
        <is>
          <t>Yes</t>
        </is>
      </c>
      <c r="G99" s="87" t="n">
        <v>6</v>
      </c>
      <c r="H99" s="94" t="n">
        <v>6</v>
      </c>
      <c r="I99" s="94" t="n"/>
      <c r="J99" s="94" t="n"/>
      <c r="K99" s="94" t="inlineStr">
        <is>
          <t>Not Req</t>
        </is>
      </c>
      <c r="L99" s="94" t="n"/>
    </row>
    <row r="100" ht="15" customHeight="1" s="144">
      <c r="A100" s="152" t="inlineStr">
        <is>
          <t>PATIENT CARE TAP</t>
        </is>
      </c>
      <c r="B100" s="147" t="n"/>
      <c r="C100" s="106" t="n"/>
      <c r="D100" s="80" t="n"/>
      <c r="E100" s="106" t="n"/>
      <c r="F100" s="106" t="n"/>
      <c r="G100" s="106" t="n"/>
      <c r="H100" s="106" t="n"/>
      <c r="I100" s="106" t="n"/>
      <c r="J100" s="106" t="n"/>
      <c r="K100" s="106" t="n"/>
      <c r="L100" s="106" t="n"/>
    </row>
    <row r="101" ht="15" customHeight="1" s="144">
      <c r="A101" s="87" t="n"/>
      <c r="B101" s="87" t="inlineStr">
        <is>
          <t>Patient Mobile – Care</t>
        </is>
      </c>
      <c r="C101" s="87" t="inlineStr">
        <is>
          <t>Care Tab</t>
        </is>
      </c>
      <c r="D101" s="84" t="inlineStr">
        <is>
          <t>As a Patient, I should be able to browse the care I can buy by category, with what each category includes and its starting price.</t>
        </is>
      </c>
      <c r="E101" s="87" t="inlineStr">
        <is>
          <t>New</t>
        </is>
      </c>
      <c r="F101" s="94" t="inlineStr">
        <is>
          <t>Yes</t>
        </is>
      </c>
      <c r="G101" s="87" t="n">
        <v>8</v>
      </c>
      <c r="H101" s="87" t="n">
        <v>4</v>
      </c>
      <c r="I101" s="87" t="n"/>
      <c r="J101" s="87" t="n"/>
      <c r="K101" s="148" t="inlineStr">
        <is>
          <t>Prototype Link</t>
        </is>
      </c>
      <c r="L101" s="87" t="n"/>
    </row>
    <row r="102" ht="15" customHeight="1" s="144">
      <c r="A102" s="94" t="n"/>
      <c r="B102" s="94" t="inlineStr">
        <is>
          <t>Patient Mobile – Care</t>
        </is>
      </c>
      <c r="C102" s="94" t="inlineStr">
        <is>
          <t>Category List</t>
        </is>
      </c>
      <c r="D102" s="97" t="inlineStr">
        <is>
          <t>As a Patient, I should be able to open a category, such as Laboratory or Devices &amp; wearables, and see each item with a short description and price.</t>
        </is>
      </c>
      <c r="E102" s="94" t="inlineStr">
        <is>
          <t>New</t>
        </is>
      </c>
      <c r="F102" s="94" t="inlineStr">
        <is>
          <t>Yes</t>
        </is>
      </c>
      <c r="G102" s="87" t="n">
        <v>8</v>
      </c>
      <c r="H102" s="94" t="n">
        <v>4</v>
      </c>
      <c r="I102" s="94" t="n"/>
      <c r="J102" s="94" t="n"/>
      <c r="K102" s="148" t="inlineStr">
        <is>
          <t>Prototype Link</t>
        </is>
      </c>
      <c r="L102" s="94" t="n"/>
    </row>
    <row r="103" ht="15" customHeight="1" s="144">
      <c r="A103" s="94" t="n"/>
      <c r="B103" s="94" t="inlineStr">
        <is>
          <t>Patient Mobile – Care</t>
        </is>
      </c>
      <c r="C103" s="94" t="inlineStr">
        <is>
          <t>Item Details &amp; Order</t>
        </is>
      </c>
      <c r="D103" s="97" t="inlineStr">
        <is>
          <t>As a Patient, I should be able to open an item, see its price, what it does and what it can’t tell me, ask Inlay about it(optamized plan), and order and pay for it.</t>
        </is>
      </c>
      <c r="E103" s="94" t="inlineStr">
        <is>
          <t>New</t>
        </is>
      </c>
      <c r="F103" s="94" t="inlineStr">
        <is>
          <t>Yes</t>
        </is>
      </c>
      <c r="G103" s="87" t="n">
        <v>8</v>
      </c>
      <c r="H103" s="94" t="n">
        <v>8</v>
      </c>
      <c r="I103" s="94" t="n"/>
      <c r="J103" s="94" t="n"/>
      <c r="K103" s="148" t="inlineStr">
        <is>
          <t>Prototype Link</t>
        </is>
      </c>
      <c r="L103" s="94" t="n"/>
    </row>
    <row r="104" ht="15" customHeight="1" s="144">
      <c r="A104" s="94" t="n"/>
      <c r="B104" s="94" t="inlineStr">
        <is>
          <t>Patient Mobile – Care</t>
        </is>
      </c>
      <c r="C104" s="94" t="inlineStr">
        <is>
          <t>Book a Time</t>
        </is>
      </c>
      <c r="D104" s="97" t="inlineStr">
        <is>
          <t>As a Patient, I should be able to book a time for a test I’ve paid for by choosing a location, date and time, and get a booking confirmation I can add to my calendar or get directions from.</t>
        </is>
      </c>
      <c r="E104" s="94" t="inlineStr">
        <is>
          <t>New</t>
        </is>
      </c>
      <c r="F104" s="94" t="inlineStr">
        <is>
          <t>Yes</t>
        </is>
      </c>
      <c r="G104" s="87" t="n">
        <v>8</v>
      </c>
      <c r="H104" s="94" t="n">
        <v>6</v>
      </c>
      <c r="I104" s="94" t="n"/>
      <c r="J104" s="94" t="n"/>
      <c r="K104" s="148" t="inlineStr">
        <is>
          <t>Prototype Link</t>
        </is>
      </c>
      <c r="L104" s="94" t="n"/>
    </row>
    <row r="105" ht="15" customHeight="1" s="144">
      <c r="A105" s="152" t="inlineStr">
        <is>
          <t>AI COPILOT (CHAT)</t>
        </is>
      </c>
      <c r="B105" s="147" t="n"/>
      <c r="C105" s="106" t="n"/>
      <c r="D105" s="80" t="n"/>
      <c r="E105" s="106" t="n"/>
      <c r="F105" s="106" t="n"/>
      <c r="G105" s="106" t="n"/>
      <c r="H105" s="106" t="n"/>
      <c r="I105" s="106" t="n"/>
      <c r="J105" s="106" t="n"/>
      <c r="K105" s="106" t="n"/>
      <c r="L105" s="106" t="n"/>
    </row>
    <row r="106" ht="15" customHeight="1" s="144">
      <c r="A106" s="94" t="n"/>
      <c r="B106" s="94" t="inlineStr">
        <is>
          <t>Chat</t>
        </is>
      </c>
      <c r="C106" s="94" t="inlineStr">
        <is>
          <t>Ask HOL</t>
        </is>
      </c>
      <c r="D106" s="97" t="inlineStr">
        <is>
          <t>As a patient, I can ask questions grounded in my own record.</t>
        </is>
      </c>
      <c r="E106" s="94" t="inlineStr">
        <is>
          <t>Retained</t>
        </is>
      </c>
      <c r="F106" s="94" t="inlineStr">
        <is>
          <t>Yes</t>
        </is>
      </c>
      <c r="G106" s="87" t="n">
        <v>6</v>
      </c>
      <c r="H106" s="94" t="n">
        <v>6</v>
      </c>
      <c r="I106" s="94" t="n"/>
      <c r="J106" s="94" t="n"/>
      <c r="K106" s="148" t="inlineStr">
        <is>
          <t>Prototype Link</t>
        </is>
      </c>
      <c r="L106" s="94" t="n"/>
    </row>
    <row r="107" ht="15" customHeight="1" s="144">
      <c r="A107" s="94" t="n"/>
      <c r="B107" s="94" t="inlineStr">
        <is>
          <t>Patient Mobile – Ask Inlay</t>
        </is>
      </c>
      <c r="C107" s="94" t="inlineStr">
        <is>
          <t>Ask a Question</t>
        </is>
      </c>
      <c r="D107" s="97" t="inlineStr">
        <is>
          <t>As a Patient, I should be able to ask about my results, medicines, appointments or anything in my record by typing, speaking or attaching a file.</t>
        </is>
      </c>
      <c r="E107" s="94" t="inlineStr">
        <is>
          <t>New</t>
        </is>
      </c>
      <c r="F107" s="94" t="inlineStr">
        <is>
          <t>Yes</t>
        </is>
      </c>
      <c r="G107" s="87" t="n">
        <v>8</v>
      </c>
      <c r="H107" s="94" t="n">
        <v>8</v>
      </c>
      <c r="I107" s="94" t="n"/>
      <c r="J107" s="94" t="n"/>
      <c r="K107" s="148" t="inlineStr">
        <is>
          <t>Prototype Link</t>
        </is>
      </c>
      <c r="L107" s="94" t="n"/>
    </row>
    <row r="108" ht="15" customHeight="1" s="144">
      <c r="A108" s="94" t="n"/>
      <c r="B108" s="94" t="inlineStr">
        <is>
          <t>Chat</t>
        </is>
      </c>
      <c r="C108" s="94" t="inlineStr">
        <is>
          <t>Safety template</t>
        </is>
      </c>
      <c r="D108" s="97" t="inlineStr">
        <is>
          <t>As a patient, answers include data used, uncertainty, and questions for my physician.</t>
        </is>
      </c>
      <c r="E108" s="94" t="inlineStr">
        <is>
          <t>Removed</t>
        </is>
      </c>
      <c r="F108" s="94" t="inlineStr">
        <is>
          <t>No</t>
        </is>
      </c>
      <c r="G108" s="87" t="n">
        <v>4</v>
      </c>
      <c r="H108" s="87" t="n">
        <v>6</v>
      </c>
      <c r="I108" s="94" t="n"/>
      <c r="J108" s="94" t="n"/>
      <c r="K108" s="94" t="n"/>
      <c r="L108" s="94" t="n"/>
    </row>
    <row r="109" ht="15" customHeight="1" s="144">
      <c r="A109" s="94" t="n"/>
      <c r="B109" s="94" t="inlineStr">
        <is>
          <t>Patient Mobile – Ask Inlay</t>
        </is>
      </c>
      <c r="C109" s="94" t="inlineStr">
        <is>
          <t>Medical Disclaimer</t>
        </is>
      </c>
      <c r="D109" s="97" t="inlineStr">
        <is>
          <t>As a Patient, I should see a note on the chat screen that Inlay gives general information, not medical advice.</t>
        </is>
      </c>
      <c r="E109" s="94" t="inlineStr">
        <is>
          <t>New</t>
        </is>
      </c>
      <c r="F109" s="94" t="inlineStr">
        <is>
          <t>Yes</t>
        </is>
      </c>
      <c r="G109" s="87" t="n">
        <v>8</v>
      </c>
      <c r="H109" s="94" t="n">
        <v>2</v>
      </c>
      <c r="I109" s="94" t="n"/>
      <c r="J109" s="94" t="n"/>
      <c r="K109" s="148" t="inlineStr">
        <is>
          <t>Prototype Link</t>
        </is>
      </c>
      <c r="L109" s="94" t="n"/>
    </row>
    <row r="110" ht="15" customHeight="1" s="144">
      <c r="A110" s="94" t="n"/>
      <c r="B110" s="94" t="inlineStr">
        <is>
          <t>Chat</t>
        </is>
      </c>
      <c r="C110" s="94" t="inlineStr">
        <is>
          <t>Refuse &amp; route clinical</t>
        </is>
      </c>
      <c r="D110" s="97" t="inlineStr">
        <is>
          <t>As a patient, clinical/medication questions are refused and routed to my physician.</t>
        </is>
      </c>
      <c r="E110" s="94" t="inlineStr">
        <is>
          <t>Removed</t>
        </is>
      </c>
      <c r="F110" s="94" t="inlineStr">
        <is>
          <t>No</t>
        </is>
      </c>
      <c r="G110" s="87" t="n">
        <v>2</v>
      </c>
      <c r="H110" s="87" t="n">
        <v>4</v>
      </c>
      <c r="I110" s="94" t="n"/>
      <c r="J110" s="94" t="n"/>
      <c r="K110" s="94" t="n"/>
      <c r="L110" s="94" t="n"/>
    </row>
    <row r="111" ht="15" customHeight="1" s="144">
      <c r="A111" s="94" t="n"/>
      <c r="B111" s="94" t="inlineStr">
        <is>
          <t>Chat</t>
        </is>
      </c>
      <c r="C111" s="94" t="inlineStr">
        <is>
          <t>Emergency redirect</t>
        </is>
      </c>
      <c r="D111" s="97" t="inlineStr">
        <is>
          <t>As a patient, emergency red-flags direct me to urgent care (fixed rules).</t>
        </is>
      </c>
      <c r="E111" s="94" t="inlineStr">
        <is>
          <t>Removed</t>
        </is>
      </c>
      <c r="F111" s="94" t="inlineStr">
        <is>
          <t>No</t>
        </is>
      </c>
      <c r="G111" s="87" t="n">
        <v>2</v>
      </c>
      <c r="H111" s="87" t="n">
        <v>4</v>
      </c>
      <c r="I111" s="94" t="n"/>
      <c r="J111" s="94" t="n"/>
      <c r="K111" s="94" t="n"/>
      <c r="L111" s="94" t="n"/>
    </row>
    <row r="112" ht="15" customHeight="1" s="144">
      <c r="A112" s="94" t="n"/>
      <c r="B112" s="94" t="inlineStr">
        <is>
          <t>Chat</t>
        </is>
      </c>
      <c r="C112" s="94" t="inlineStr">
        <is>
          <t>Voice chat</t>
        </is>
      </c>
      <c r="D112" s="97" t="inlineStr">
        <is>
          <t>As a patient, I can talk to the AI by voice.</t>
        </is>
      </c>
      <c r="E112" s="94" t="inlineStr">
        <is>
          <t>Retained</t>
        </is>
      </c>
      <c r="F112" s="94" t="inlineStr">
        <is>
          <t>Yes</t>
        </is>
      </c>
      <c r="G112" s="87" t="n">
        <v>4</v>
      </c>
      <c r="H112" s="87" t="n">
        <v>6</v>
      </c>
      <c r="I112" s="94" t="n"/>
      <c r="J112" s="94" t="n"/>
      <c r="K112" s="148" t="inlineStr">
        <is>
          <t>Prototype Link</t>
        </is>
      </c>
      <c r="L112" s="94" t="n"/>
    </row>
    <row r="113" ht="15" customHeight="1" s="144">
      <c r="A113" s="94" t="n"/>
      <c r="B113" s="94" t="inlineStr">
        <is>
          <t>Why HOL said this</t>
        </is>
      </c>
      <c r="C113" s="94" t="inlineStr">
        <is>
          <t>Answer traceability view</t>
        </is>
      </c>
      <c r="D113" s="97" t="inlineStr">
        <is>
          <t>As a patient, I can open a ‘Why HOL said this’ view showing the record facts, evidence and limitations behind an answer.</t>
        </is>
      </c>
      <c r="E113" s="94" t="inlineStr">
        <is>
          <t>Removed</t>
        </is>
      </c>
      <c r="F113" s="94" t="inlineStr">
        <is>
          <t>No</t>
        </is>
      </c>
      <c r="G113" s="94" t="n">
        <v>8</v>
      </c>
      <c r="H113" s="94" t="n">
        <v>8</v>
      </c>
      <c r="I113" s="94" t="n"/>
      <c r="J113" s="94" t="n"/>
      <c r="K113" s="94" t="n"/>
      <c r="L113" s="94" t="n"/>
    </row>
    <row r="114" ht="15" customHeight="1" s="144">
      <c r="A114" s="94" t="n"/>
      <c r="B114" s="94" t="inlineStr">
        <is>
          <t>Chat</t>
        </is>
      </c>
      <c r="C114" s="94" t="inlineStr">
        <is>
          <t>Monitoring-limits disclosure</t>
        </is>
      </c>
      <c r="D114" s="97" t="inlineStr">
        <is>
          <t>As a patient, I am clearly told whether urgent messages are monitored in real time, so I never assume continuous human monitoring.</t>
        </is>
      </c>
      <c r="E114" s="94" t="inlineStr">
        <is>
          <t>Removed</t>
        </is>
      </c>
      <c r="F114" s="94" t="inlineStr">
        <is>
          <t>No</t>
        </is>
      </c>
      <c r="G114" s="94" t="n">
        <v>8</v>
      </c>
      <c r="H114" s="94" t="n">
        <v>8</v>
      </c>
      <c r="I114" s="94" t="n"/>
      <c r="J114" s="94" t="n"/>
      <c r="K114" s="94" t="n"/>
      <c r="L114" s="94" t="n"/>
    </row>
    <row r="115" ht="15" customHeight="1" s="144">
      <c r="A115" s="94" t="n"/>
      <c r="B115" s="94" t="inlineStr">
        <is>
          <t>Patient Mobile – Ask Inlay</t>
        </is>
      </c>
      <c r="C115" s="94" t="inlineStr">
        <is>
          <t>Chat History</t>
        </is>
      </c>
      <c r="D115" s="97" t="inlineStr">
        <is>
          <t>As a Patient, I should be able to open my past conversations from “History”.</t>
        </is>
      </c>
      <c r="E115" s="94" t="inlineStr">
        <is>
          <t>New</t>
        </is>
      </c>
      <c r="F115" s="94" t="inlineStr">
        <is>
          <t>Yes</t>
        </is>
      </c>
      <c r="G115" s="87" t="n">
        <v>8</v>
      </c>
      <c r="H115" s="94" t="n">
        <v>6</v>
      </c>
      <c r="I115" s="94" t="n"/>
      <c r="J115" s="94" t="n"/>
      <c r="K115" s="148" t="inlineStr">
        <is>
          <t>Prototype Link</t>
        </is>
      </c>
      <c r="L115" s="94" t="n"/>
    </row>
    <row r="116" ht="15" customHeight="1" s="144">
      <c r="A116" s="94" t="n"/>
      <c r="B116" s="94" t="inlineStr">
        <is>
          <t>Patient Mobile – Ask Inlay</t>
        </is>
      </c>
      <c r="C116" s="94" t="inlineStr">
        <is>
          <t>Chats by Category</t>
        </is>
      </c>
      <c r="D116" s="97" t="inlineStr">
        <is>
          <t>As a Patient, I should see my recent chats and my past chats grouped by topic with a count for each, and start a new chat.</t>
        </is>
      </c>
      <c r="E116" s="94" t="inlineStr">
        <is>
          <t>New</t>
        </is>
      </c>
      <c r="F116" s="94" t="inlineStr">
        <is>
          <t>Yes</t>
        </is>
      </c>
      <c r="G116" s="87" t="n">
        <v>8</v>
      </c>
      <c r="H116" s="94" t="n">
        <v>4</v>
      </c>
      <c r="I116" s="94" t="n"/>
      <c r="J116" s="94" t="n"/>
      <c r="K116" s="148" t="inlineStr">
        <is>
          <t>Prototype Link</t>
        </is>
      </c>
      <c r="L116" s="94" t="n"/>
    </row>
    <row r="117" ht="15" customHeight="1" s="144">
      <c r="A117" s="94" t="n"/>
      <c r="B117" s="94" t="inlineStr">
        <is>
          <t>Patient Mobile – Ask Inlay</t>
        </is>
      </c>
      <c r="C117" s="94" t="inlineStr">
        <is>
          <t>Ask Inlay – Home</t>
        </is>
      </c>
      <c r="D117" s="97" t="inlineStr">
        <is>
          <t>As a Member, I should be able to open Ask Inlay from Home and ask about anything shown there, such as my biological age, new results, medicines or upcoming appointments, and get answers based on my own data.</t>
        </is>
      </c>
      <c r="E117" s="94" t="inlineStr">
        <is>
          <t>New</t>
        </is>
      </c>
      <c r="F117" s="94" t="inlineStr">
        <is>
          <t>Yes</t>
        </is>
      </c>
      <c r="G117" s="87" t="n">
        <v>8</v>
      </c>
      <c r="H117" s="94" t="n">
        <v>4</v>
      </c>
      <c r="I117" s="94" t="n"/>
      <c r="J117" s="94" t="n"/>
      <c r="K117" s="148" t="inlineStr">
        <is>
          <t>Prototype Link</t>
        </is>
      </c>
      <c r="L117" s="94" t="n"/>
    </row>
    <row r="118" ht="15" customHeight="1" s="144">
      <c r="A118" s="94" t="n"/>
      <c r="B118" s="94" t="inlineStr">
        <is>
          <t>Patient Mobile – Ask Inlay</t>
        </is>
      </c>
      <c r="C118" s="94" t="inlineStr">
        <is>
          <t>Ask Inlay – To Do</t>
        </is>
      </c>
      <c r="D118" s="97" t="inlineStr">
        <is>
          <t>As a Member, I should be able to open Ask Inlay from To Do and ask about any to-do item, such as a test I need to book, a reminder or a booked appointment, and get answers based on my own data.</t>
        </is>
      </c>
      <c r="E118" s="94" t="inlineStr">
        <is>
          <t>New</t>
        </is>
      </c>
      <c r="F118" s="94" t="inlineStr">
        <is>
          <t>Yes</t>
        </is>
      </c>
      <c r="G118" s="87" t="n">
        <v>8</v>
      </c>
      <c r="H118" s="94" t="n">
        <v>4</v>
      </c>
      <c r="I118" s="94" t="n"/>
      <c r="J118" s="94" t="n"/>
      <c r="K118" s="148" t="inlineStr">
        <is>
          <t>Prototype Link</t>
        </is>
      </c>
      <c r="L118" s="94" t="n"/>
    </row>
    <row r="119" ht="15" customHeight="1" s="144">
      <c r="A119" s="94" t="n"/>
      <c r="B119" s="94" t="inlineStr">
        <is>
          <t>Patient Mobile – Ask Inlay</t>
        </is>
      </c>
      <c r="C119" s="94" t="inlineStr">
        <is>
          <t>Ask Inlay – Record</t>
        </is>
      </c>
      <c r="D119" s="97" t="inlineStr">
        <is>
          <t>As a Member, I should be able to open Ask Inlay from my Record and ask about any section, such as a biomarker, imaging, test, medicine, condition or visit, and get answers based on my own data.</t>
        </is>
      </c>
      <c r="E119" s="94" t="inlineStr">
        <is>
          <t>New</t>
        </is>
      </c>
      <c r="F119" s="94" t="inlineStr">
        <is>
          <t>Yes</t>
        </is>
      </c>
      <c r="G119" s="87" t="n">
        <v>8</v>
      </c>
      <c r="H119" s="94" t="n">
        <v>4</v>
      </c>
      <c r="I119" s="94" t="n"/>
      <c r="J119" s="94" t="n"/>
      <c r="K119" s="148" t="inlineStr">
        <is>
          <t>Prototype Link</t>
        </is>
      </c>
      <c r="L119" s="94" t="n"/>
    </row>
    <row r="120" ht="15" customHeight="1" s="144">
      <c r="A120" s="94" t="n"/>
      <c r="B120" s="94" t="inlineStr">
        <is>
          <t>Patient Mobile – Ask Inlay</t>
        </is>
      </c>
      <c r="C120" s="94" t="inlineStr">
        <is>
          <t>Ask Inlay – Plan</t>
        </is>
      </c>
      <c r="D120" s="97" t="inlineStr">
        <is>
          <t>As a Member, I should be able to open Ask Inlay from my Plan and ask about any part of it, such as today’s goals, exercise, meals, sleep, mind, medication, history, progress or outlook, and get answers based on my own data.</t>
        </is>
      </c>
      <c r="E120" s="94" t="inlineStr">
        <is>
          <t>New</t>
        </is>
      </c>
      <c r="F120" s="94" t="inlineStr">
        <is>
          <t>Yes</t>
        </is>
      </c>
      <c r="G120" s="87" t="n">
        <v>8</v>
      </c>
      <c r="H120" s="94" t="n">
        <v>4</v>
      </c>
      <c r="I120" s="94" t="n"/>
      <c r="J120" s="94" t="n"/>
      <c r="K120" s="148" t="inlineStr">
        <is>
          <t>Prototype Link</t>
        </is>
      </c>
      <c r="L120" s="94" t="n"/>
    </row>
    <row r="121" ht="15" customHeight="1" s="144">
      <c r="A121" s="94" t="n"/>
      <c r="B121" s="94" t="inlineStr">
        <is>
          <t>Patient Mobile – Ask Inlay</t>
        </is>
      </c>
      <c r="C121" s="94" t="inlineStr">
        <is>
          <t>Ask Inlay – Care</t>
        </is>
      </c>
      <c r="D121" s="97" t="inlineStr">
        <is>
          <t>As a Member, I should be able to open Ask Inlay from Care and ask about any test, scan or device, and get answers based on my own data.</t>
        </is>
      </c>
      <c r="E121" s="94" t="inlineStr">
        <is>
          <t>New</t>
        </is>
      </c>
      <c r="F121" s="94" t="inlineStr">
        <is>
          <t>Yes</t>
        </is>
      </c>
      <c r="G121" s="87" t="n">
        <v>8</v>
      </c>
      <c r="H121" s="94" t="n">
        <v>4</v>
      </c>
      <c r="I121" s="94" t="n"/>
      <c r="J121" s="94" t="n"/>
      <c r="K121" s="148" t="inlineStr">
        <is>
          <t>Prototype Link</t>
        </is>
      </c>
      <c r="L121" s="94" t="n"/>
    </row>
    <row r="122" ht="15" customHeight="1" s="144">
      <c r="A122" s="94" t="n"/>
      <c r="B122" s="94" t="inlineStr">
        <is>
          <t>Patient Mobile – Ask Inlay</t>
        </is>
      </c>
      <c r="C122" s="94" t="inlineStr">
        <is>
          <t>Ask Inlay – Chat Sessions</t>
        </is>
      </c>
      <c r="D122" s="97" t="inlineStr">
        <is>
          <t>As a Patient, I should be able to ask anything within a predefined chat session, and when I ask about a different topic, Inlay will responce a information message  so that each conversation stays on one topic and I can return to it later.</t>
        </is>
      </c>
      <c r="E122" s="94" t="inlineStr">
        <is>
          <t>New</t>
        </is>
      </c>
      <c r="F122" s="94" t="inlineStr">
        <is>
          <t>Yes</t>
        </is>
      </c>
      <c r="G122" s="87" t="n">
        <v>8</v>
      </c>
      <c r="H122" s="94" t="n">
        <v>8</v>
      </c>
      <c r="I122" s="94" t="n"/>
      <c r="J122" s="94" t="n"/>
      <c r="K122" s="148" t="inlineStr">
        <is>
          <t>Prototype Link</t>
        </is>
      </c>
      <c r="L122" s="94" t="n"/>
    </row>
    <row r="123" ht="15" customHeight="1" s="144">
      <c r="A123" s="94" t="n"/>
      <c r="B123" s="94" t="inlineStr">
        <is>
          <t>Patient Mobile – Ask Inlay</t>
        </is>
      </c>
      <c r="C123" s="94" t="inlineStr">
        <is>
          <t>Ask Inlay – Response Guardrails</t>
        </is>
      </c>
      <c r="D123" s="97" t="inlineStr">
        <is>
          <t>As a Patient, I should get Ask Inlay answers that use only my own record and Inlay’s approved clinical content, never diagnose or change my treatment, handle emotional and personal topics safely, and tell me when to speak to my physician, so that I can trust what it says.</t>
        </is>
      </c>
      <c r="E123" s="94" t="inlineStr">
        <is>
          <t>New</t>
        </is>
      </c>
      <c r="F123" s="94" t="inlineStr">
        <is>
          <t>Yes</t>
        </is>
      </c>
      <c r="G123" s="87" t="n">
        <v>6</v>
      </c>
      <c r="H123" s="94" t="n">
        <v>8</v>
      </c>
      <c r="I123" s="94" t="n"/>
      <c r="J123" s="94" t="n"/>
      <c r="K123" s="94" t="inlineStr">
        <is>
          <t>Not Req</t>
        </is>
      </c>
      <c r="L123" s="94" t="n"/>
    </row>
    <row r="124" ht="15" customHeight="1" s="144">
      <c r="A124" s="152" t="inlineStr">
        <is>
          <t>MESSAGES, COACHING &amp; PURCHASES</t>
        </is>
      </c>
      <c r="B124" s="147" t="n"/>
      <c r="C124" s="106" t="n"/>
      <c r="D124" s="80" t="n"/>
      <c r="E124" s="106" t="n"/>
      <c r="F124" s="106" t="n"/>
      <c r="G124" s="106" t="n"/>
      <c r="H124" s="106" t="n"/>
      <c r="I124" s="106" t="n"/>
      <c r="J124" s="106" t="n"/>
      <c r="K124" s="106" t="n"/>
      <c r="L124" s="106" t="n"/>
    </row>
    <row r="125" ht="15" customHeight="1" s="144">
      <c r="A125" s="94" t="n"/>
      <c r="B125" s="94" t="inlineStr">
        <is>
          <t>Messages</t>
        </is>
      </c>
      <c r="C125" s="94" t="inlineStr">
        <is>
          <t>Message care team</t>
        </is>
      </c>
      <c r="D125" s="97" t="inlineStr">
        <is>
          <t>As a patient, I can securely message my physician/care team.</t>
        </is>
      </c>
      <c r="E125" s="94" t="inlineStr">
        <is>
          <t>Removed</t>
        </is>
      </c>
      <c r="F125" s="94" t="inlineStr">
        <is>
          <t>No</t>
        </is>
      </c>
      <c r="G125" s="87" t="n">
        <v>4</v>
      </c>
      <c r="H125" s="87" t="n">
        <v>4</v>
      </c>
      <c r="I125" s="94" t="n"/>
      <c r="J125" s="94" t="n"/>
      <c r="K125" s="94" t="n"/>
      <c r="L125" s="94" t="n"/>
    </row>
    <row r="126" ht="15" customHeight="1" s="144">
      <c r="A126" s="59" t="n"/>
      <c r="B126" s="59" t="inlineStr">
        <is>
          <t>Messages</t>
        </is>
      </c>
      <c r="C126" s="59" t="inlineStr">
        <is>
          <t>Book &amp; message coach</t>
        </is>
      </c>
      <c r="D126" s="61" t="inlineStr">
        <is>
          <t>As a patient, I can book and message a health coach.</t>
        </is>
      </c>
      <c r="E126" s="94" t="inlineStr">
        <is>
          <t>Removed</t>
        </is>
      </c>
      <c r="F126" s="94" t="inlineStr">
        <is>
          <t>No</t>
        </is>
      </c>
      <c r="G126" s="87" t="n">
        <v>4</v>
      </c>
      <c r="H126" s="87" t="n">
        <v>4</v>
      </c>
      <c r="I126" s="94" t="n"/>
      <c r="J126" s="94" t="n"/>
      <c r="K126" s="94" t="n"/>
      <c r="L126" s="94" t="n"/>
    </row>
    <row r="127" ht="15" customHeight="1" s="144">
      <c r="A127" s="152" t="inlineStr">
        <is>
          <t>BILLING</t>
        </is>
      </c>
      <c r="B127" s="147" t="n"/>
      <c r="C127" s="106" t="n"/>
      <c r="D127" s="80" t="n"/>
      <c r="E127" s="106" t="n"/>
      <c r="F127" s="106" t="n"/>
      <c r="G127" s="106" t="n"/>
      <c r="H127" s="106" t="n"/>
      <c r="I127" s="106" t="n"/>
      <c r="J127" s="106" t="n"/>
      <c r="K127" s="106" t="n"/>
      <c r="L127" s="106" t="n"/>
    </row>
    <row r="128" ht="15" customHeight="1" s="144">
      <c r="A128" s="94" t="n"/>
      <c r="B128" s="94" t="inlineStr">
        <is>
          <t>Billing</t>
        </is>
      </c>
      <c r="C128" s="94" t="inlineStr">
        <is>
          <t>Subscribe to membership</t>
        </is>
      </c>
      <c r="D128" s="97" t="inlineStr">
        <is>
          <t>As a patient, I can subscribe to a monthly HOL membership.</t>
        </is>
      </c>
      <c r="E128" s="94" t="inlineStr">
        <is>
          <t>Retained</t>
        </is>
      </c>
      <c r="F128" s="94" t="inlineStr">
        <is>
          <t>Yes</t>
        </is>
      </c>
      <c r="G128" s="87" t="n">
        <v>8</v>
      </c>
      <c r="H128" s="87" t="n">
        <v>6</v>
      </c>
      <c r="I128" s="94" t="n"/>
      <c r="J128" s="94" t="n"/>
      <c r="K128" s="148" t="inlineStr">
        <is>
          <t>Prototype Link</t>
        </is>
      </c>
      <c r="L128" s="94" t="n"/>
    </row>
    <row r="129" ht="15" customHeight="1" s="144">
      <c r="A129" s="94" t="n"/>
      <c r="B129" s="94" t="inlineStr">
        <is>
          <t>Patient Mobile – Upgrade</t>
        </is>
      </c>
      <c r="C129" s="94" t="inlineStr">
        <is>
          <t>Choose Billing</t>
        </is>
      </c>
      <c r="D129" s="97" t="inlineStr">
        <is>
          <t>As a Patient, I should be able to choose monthly or yearly billing, see the price of my plan and the yearly saving, and view what’s included.</t>
        </is>
      </c>
      <c r="E129" s="94" t="inlineStr">
        <is>
          <t>New</t>
        </is>
      </c>
      <c r="F129" s="94" t="inlineStr">
        <is>
          <t>Yes</t>
        </is>
      </c>
      <c r="G129" s="87" t="n">
        <v>8</v>
      </c>
      <c r="H129" s="94" t="n">
        <v>4</v>
      </c>
      <c r="I129" s="94" t="n"/>
      <c r="J129" s="94" t="n"/>
      <c r="K129" s="148" t="inlineStr">
        <is>
          <t>Prototype Link</t>
        </is>
      </c>
      <c r="L129" s="94" t="n"/>
    </row>
    <row r="130" ht="15" customHeight="1" s="144">
      <c r="A130" s="94" t="n"/>
      <c r="B130" s="94" t="inlineStr">
        <is>
          <t>Patient Mobile – Upgrade</t>
        </is>
      </c>
      <c r="C130" s="94" t="inlineStr">
        <is>
          <t>Payment Method</t>
        </is>
      </c>
      <c r="D130" s="97" t="inlineStr">
        <is>
          <t>As a Patient, I should be able to pay by credit card, Apple Pay or Google Pay, view the breakdown of my total, agree to the Terms of Service and Privacy Policy, and complete my enrollment.</t>
        </is>
      </c>
      <c r="E130" s="94" t="inlineStr">
        <is>
          <t>New</t>
        </is>
      </c>
      <c r="F130" s="94" t="inlineStr">
        <is>
          <t>Yes</t>
        </is>
      </c>
      <c r="G130" s="87" t="n">
        <v>8</v>
      </c>
      <c r="H130" s="94" t="n">
        <v>8</v>
      </c>
      <c r="I130" s="94" t="n"/>
      <c r="J130" s="94" t="n"/>
      <c r="K130" s="148" t="inlineStr">
        <is>
          <t>Prototype Link</t>
        </is>
      </c>
      <c r="L130" s="94" t="n"/>
    </row>
    <row r="131" ht="15" customHeight="1" s="144">
      <c r="A131" s="94" t="n"/>
      <c r="B131" s="94" t="inlineStr">
        <is>
          <t>Billing</t>
        </is>
      </c>
      <c r="C131" s="94" t="inlineStr">
        <is>
          <t>Manage subscription</t>
        </is>
      </c>
      <c r="D131" s="97" t="inlineStr">
        <is>
          <t xml:space="preserve">As a patient, I can view or cancel my membership can </t>
        </is>
      </c>
      <c r="E131" s="94" t="inlineStr">
        <is>
          <t>Retained</t>
        </is>
      </c>
      <c r="F131" s="94" t="inlineStr">
        <is>
          <t>Yes</t>
        </is>
      </c>
      <c r="G131" s="87" t="n">
        <v>8</v>
      </c>
      <c r="H131" s="87" t="n">
        <v>4</v>
      </c>
      <c r="I131" s="94" t="n"/>
      <c r="J131" s="94" t="n"/>
      <c r="K131" s="148" t="inlineStr">
        <is>
          <t>Prototype Link</t>
        </is>
      </c>
      <c r="L131" s="94" t="n"/>
    </row>
    <row r="132" ht="15" customHeight="1" s="144">
      <c r="A132" s="87" t="n"/>
      <c r="B132" s="87" t="inlineStr">
        <is>
          <t>Billing</t>
        </is>
      </c>
      <c r="C132" s="87" t="inlineStr">
        <is>
          <t>Buy add-ons &amp; packages</t>
        </is>
      </c>
      <c r="D132" s="84" t="inlineStr">
        <is>
          <t>As a patient, I can purchase add-on panels, imaging and optimization packages.</t>
        </is>
      </c>
      <c r="E132" s="87" t="inlineStr">
        <is>
          <t>Retained</t>
        </is>
      </c>
      <c r="F132" s="87" t="inlineStr">
        <is>
          <t>Yes</t>
        </is>
      </c>
      <c r="G132" s="87" t="n">
        <v>8</v>
      </c>
      <c r="H132" s="87" t="n">
        <v>6</v>
      </c>
      <c r="I132" s="87" t="n"/>
      <c r="J132" s="87" t="n"/>
      <c r="K132" s="148" t="inlineStr">
        <is>
          <t>Prototype Link</t>
        </is>
      </c>
      <c r="L132" s="87" t="n"/>
    </row>
    <row r="133" ht="15" customHeight="1" s="144">
      <c r="A133" s="94" t="n"/>
      <c r="B133" s="94" t="inlineStr">
        <is>
          <t>Billing</t>
        </is>
      </c>
      <c r="C133" s="94" t="inlineStr">
        <is>
          <t>Payment methods</t>
        </is>
      </c>
      <c r="D133" s="97" t="inlineStr">
        <is>
          <t>As a patient, I can add, remove and set a default payment method.</t>
        </is>
      </c>
      <c r="E133" s="94" t="inlineStr">
        <is>
          <t>Removed</t>
        </is>
      </c>
      <c r="F133" s="94" t="inlineStr">
        <is>
          <t>No</t>
        </is>
      </c>
      <c r="G133" s="87" t="n">
        <v>4</v>
      </c>
      <c r="H133" s="87" t="n">
        <v>4</v>
      </c>
      <c r="I133" s="94" t="n"/>
      <c r="J133" s="94" t="n"/>
      <c r="K133" s="94" t="n"/>
      <c r="L133" s="94" t="n"/>
    </row>
    <row r="134" ht="15" customHeight="1" s="144">
      <c r="A134" s="94" t="n"/>
      <c r="B134" s="94" t="inlineStr">
        <is>
          <t>Billing</t>
        </is>
      </c>
      <c r="C134" s="94" t="inlineStr">
        <is>
          <t>Pay &amp; BNPL</t>
        </is>
      </c>
      <c r="D134" s="97" t="inlineStr">
        <is>
          <t>As a patient, I can pay by card or a buy-now-pay-later option.</t>
        </is>
      </c>
      <c r="E134" s="94" t="inlineStr">
        <is>
          <t>Removed</t>
        </is>
      </c>
      <c r="F134" s="94" t="inlineStr">
        <is>
          <t>No</t>
        </is>
      </c>
      <c r="G134" s="87" t="n">
        <v>4</v>
      </c>
      <c r="H134" s="87" t="n">
        <v>4</v>
      </c>
      <c r="I134" s="94" t="n"/>
      <c r="J134" s="94" t="n"/>
      <c r="K134" s="94" t="n"/>
      <c r="L134" s="94" t="n"/>
    </row>
    <row r="135" ht="15" customHeight="1" s="144">
      <c r="A135" s="94" t="n"/>
      <c r="B135" s="94" t="inlineStr">
        <is>
          <t>Billing</t>
        </is>
      </c>
      <c r="C135" s="94" t="inlineStr">
        <is>
          <t>Invoices &amp; receipts</t>
        </is>
      </c>
      <c r="D135" s="97" t="inlineStr">
        <is>
          <t>As a patient, I can view invoices, receipts and payment history.</t>
        </is>
      </c>
      <c r="E135" s="94" t="inlineStr">
        <is>
          <t>Retained</t>
        </is>
      </c>
      <c r="F135" s="94" t="inlineStr">
        <is>
          <t>Yes</t>
        </is>
      </c>
      <c r="G135" s="87" t="n">
        <v>8</v>
      </c>
      <c r="H135" s="87" t="n">
        <v>4</v>
      </c>
      <c r="I135" s="94" t="n"/>
      <c r="J135" s="94" t="n"/>
      <c r="K135" s="148" t="inlineStr">
        <is>
          <t>Prototype Link</t>
        </is>
      </c>
      <c r="L135" s="94" t="n"/>
    </row>
    <row r="136" ht="15" customHeight="1" s="144">
      <c r="A136" s="94" t="n"/>
      <c r="B136" s="94" t="inlineStr">
        <is>
          <t>Billing</t>
        </is>
      </c>
      <c r="C136" s="94" t="inlineStr">
        <is>
          <t>Failed-payment handling</t>
        </is>
      </c>
      <c r="D136" s="97" t="inlineStr">
        <is>
          <t>As a patient, I am notified of a failed payment and can retry.</t>
        </is>
      </c>
      <c r="E136" s="94" t="inlineStr">
        <is>
          <t>Retained</t>
        </is>
      </c>
      <c r="F136" s="94" t="inlineStr">
        <is>
          <t>Yes</t>
        </is>
      </c>
      <c r="G136" s="87" t="n">
        <v>8</v>
      </c>
      <c r="H136" s="87" t="n">
        <v>4</v>
      </c>
      <c r="I136" s="94" t="n"/>
      <c r="J136" s="94" t="n"/>
      <c r="K136" s="148" t="inlineStr">
        <is>
          <t>Prototype Link</t>
        </is>
      </c>
      <c r="L136" s="94" t="n"/>
    </row>
    <row r="137" ht="15" customHeight="1" s="144">
      <c r="A137" s="94" t="n"/>
      <c r="B137" s="94" t="inlineStr">
        <is>
          <t>Billing</t>
        </is>
      </c>
      <c r="C137" s="94" t="inlineStr">
        <is>
          <t>AI usage &amp; overage</t>
        </is>
      </c>
      <c r="D137" s="97" t="inlineStr">
        <is>
          <t>As a patient, I can see my AI chat usage against my allotment and, when it runs out, top it up by amount (e.g. $10 or $20), while the rest of the app keeps working.</t>
        </is>
      </c>
      <c r="E137" s="94" t="inlineStr">
        <is>
          <t>Modified</t>
        </is>
      </c>
      <c r="F137" s="94" t="inlineStr">
        <is>
          <t>Yes</t>
        </is>
      </c>
      <c r="G137" s="87" t="n">
        <v>8</v>
      </c>
      <c r="H137" s="87" t="n">
        <v>4</v>
      </c>
      <c r="I137" s="94" t="n"/>
      <c r="J137" s="94" t="n"/>
      <c r="K137" s="148" t="inlineStr">
        <is>
          <t>Prototype Link</t>
        </is>
      </c>
      <c r="L137" s="94" t="n"/>
    </row>
    <row r="138" ht="15" customHeight="1" s="144">
      <c r="A138" s="99" t="n"/>
      <c r="B138" s="99" t="inlineStr">
        <is>
          <t>Billing</t>
        </is>
      </c>
      <c r="C138" s="99" t="inlineStr">
        <is>
          <t>Refunds</t>
        </is>
      </c>
      <c r="D138" s="19" t="inlineStr">
        <is>
          <t>As a Patient, when I cancel within policy, I get my money back on my original payment method, not as Inlay credit.</t>
        </is>
      </c>
      <c r="E138" s="94" t="inlineStr">
        <is>
          <t>New</t>
        </is>
      </c>
      <c r="F138" s="94" t="inlineStr">
        <is>
          <t>Yes</t>
        </is>
      </c>
      <c r="G138" s="87" t="n">
        <v>8</v>
      </c>
      <c r="H138" s="94" t="n">
        <v>6</v>
      </c>
      <c r="I138" s="94" t="n"/>
      <c r="J138" s="94" t="n"/>
      <c r="K138" s="148" t="inlineStr">
        <is>
          <t>Prototype Link</t>
        </is>
      </c>
      <c r="L138" s="94" t="n"/>
    </row>
    <row r="139" ht="15" customHeight="1" s="144">
      <c r="A139" s="94" t="n"/>
      <c r="B139" s="94" t="inlineStr">
        <is>
          <t>Patient Mobile – Ask Inlay</t>
        </is>
      </c>
      <c r="C139" s="94" t="inlineStr">
        <is>
          <t>Credit Nearly Used</t>
        </is>
      </c>
      <c r="D139" s="97" t="inlineStr">
        <is>
          <t>As a Patient, I should see a warning when I’ve used most of this week’s AI credit, with a link to upgrade.</t>
        </is>
      </c>
      <c r="E139" s="94" t="inlineStr">
        <is>
          <t>New</t>
        </is>
      </c>
      <c r="F139" s="94" t="inlineStr">
        <is>
          <t>Yes</t>
        </is>
      </c>
      <c r="G139" s="87" t="n">
        <v>8</v>
      </c>
      <c r="H139" s="94" t="n">
        <v>2</v>
      </c>
      <c r="I139" s="94" t="n"/>
      <c r="J139" s="94" t="n"/>
      <c r="K139" s="148" t="inlineStr">
        <is>
          <t>Prototype Link</t>
        </is>
      </c>
      <c r="L139" s="94" t="n"/>
    </row>
    <row r="140" ht="15" customHeight="1" s="144">
      <c r="A140" s="152" t="inlineStr">
        <is>
          <t>SETTINGS &amp; NOTIFICATIONS</t>
        </is>
      </c>
      <c r="B140" s="147" t="n"/>
      <c r="C140" s="106" t="n"/>
      <c r="D140" s="80" t="n"/>
      <c r="E140" s="106" t="n"/>
      <c r="F140" s="106" t="n"/>
      <c r="G140" s="106" t="n"/>
      <c r="H140" s="106" t="n"/>
      <c r="I140" s="106" t="n"/>
      <c r="J140" s="106" t="n"/>
      <c r="K140" s="106" t="n"/>
      <c r="L140" s="106" t="n"/>
    </row>
    <row r="141" ht="15" customHeight="1" s="144">
      <c r="A141" s="94" t="n"/>
      <c r="B141" s="94" t="inlineStr">
        <is>
          <t>Setting</t>
        </is>
      </c>
      <c r="C141" s="94" t="inlineStr">
        <is>
          <t>Change password</t>
        </is>
      </c>
      <c r="D141" s="97" t="inlineStr">
        <is>
          <t>As a patient, I should be able to change my password.</t>
        </is>
      </c>
      <c r="E141" s="94" t="inlineStr">
        <is>
          <t>New</t>
        </is>
      </c>
      <c r="F141" s="94" t="inlineStr">
        <is>
          <t>Yes</t>
        </is>
      </c>
      <c r="G141" s="87" t="n">
        <v>6</v>
      </c>
      <c r="H141" s="94" t="n">
        <v>2</v>
      </c>
      <c r="I141" s="94" t="n"/>
      <c r="J141" s="94" t="n"/>
      <c r="K141" s="148" t="inlineStr">
        <is>
          <t>Prototype Link</t>
        </is>
      </c>
      <c r="L141" s="94" t="n"/>
    </row>
    <row r="142" ht="15" customHeight="1" s="144">
      <c r="A142" s="94" t="n"/>
      <c r="B142" s="94" t="inlineStr">
        <is>
          <t>Settings</t>
        </is>
      </c>
      <c r="C142" s="94" t="inlineStr">
        <is>
          <t>Profile &amp; connections</t>
        </is>
      </c>
      <c r="D142" s="97" t="inlineStr">
        <is>
          <t>As a patient, I can manage profile, connected sources, goals, payment.</t>
        </is>
      </c>
      <c r="E142" s="94" t="inlineStr">
        <is>
          <t>Retained</t>
        </is>
      </c>
      <c r="F142" s="94" t="inlineStr">
        <is>
          <t>Yes</t>
        </is>
      </c>
      <c r="G142" s="87" t="n">
        <v>6</v>
      </c>
      <c r="H142" s="87" t="n">
        <v>4</v>
      </c>
      <c r="I142" s="94" t="n"/>
      <c r="J142" s="94" t="n"/>
      <c r="K142" s="148" t="inlineStr">
        <is>
          <t>Prototype Link</t>
        </is>
      </c>
      <c r="L142" s="94" t="n"/>
    </row>
    <row r="143" ht="15" customHeight="1" s="144">
      <c r="A143" s="59" t="n"/>
      <c r="B143" s="59" t="inlineStr">
        <is>
          <t>Patient Mobile – Profile</t>
        </is>
      </c>
      <c r="C143" s="59" t="inlineStr">
        <is>
          <t>Your Doctor &amp; Practice</t>
        </is>
      </c>
      <c r="D143" s="61" t="inlineStr">
        <is>
          <t>As a Patient, I should see my physician and practice on my profile, and be able to call my practice from there.</t>
        </is>
      </c>
      <c r="E143" s="94" t="inlineStr">
        <is>
          <t>New</t>
        </is>
      </c>
      <c r="F143" s="94" t="inlineStr">
        <is>
          <t>Yes</t>
        </is>
      </c>
      <c r="G143" s="87" t="n">
        <v>6</v>
      </c>
      <c r="H143" s="94" t="n">
        <v>2</v>
      </c>
      <c r="I143" s="94" t="n"/>
      <c r="J143" s="94" t="n"/>
      <c r="K143" s="148" t="inlineStr">
        <is>
          <t>Prototype Link</t>
        </is>
      </c>
      <c r="L143" s="94" t="n"/>
    </row>
    <row r="144" ht="15" customHeight="1" s="144">
      <c r="A144" s="94" t="n"/>
      <c r="B144" s="94" t="inlineStr">
        <is>
          <t>Notifications</t>
        </is>
      </c>
      <c r="C144" s="94" t="inlineStr">
        <is>
          <t>Alerts</t>
        </is>
      </c>
      <c r="D144" s="97" t="inlineStr">
        <is>
          <t>As a patient, I receive reminders and ‘report ready’ alerts (no PHI).</t>
        </is>
      </c>
      <c r="E144" s="94" t="inlineStr">
        <is>
          <t>Retained</t>
        </is>
      </c>
      <c r="F144" s="94" t="inlineStr">
        <is>
          <t>Yes</t>
        </is>
      </c>
      <c r="G144" s="87" t="n">
        <v>8</v>
      </c>
      <c r="H144" s="87" t="n">
        <v>2</v>
      </c>
      <c r="I144" s="94" t="n"/>
      <c r="J144" s="94" t="n"/>
      <c r="K144" s="148" t="inlineStr">
        <is>
          <t>Prototype Link</t>
        </is>
      </c>
      <c r="L144" s="94" t="n"/>
    </row>
    <row r="145" ht="15" customHeight="1" s="144">
      <c r="A145" s="94" t="n"/>
      <c r="B145" s="94" t="inlineStr">
        <is>
          <t>Notifications</t>
        </is>
      </c>
      <c r="C145" s="94" t="inlineStr">
        <is>
          <t>Notification preferences</t>
        </is>
      </c>
      <c r="D145" s="97" t="inlineStr">
        <is>
          <t>As a patient, I can manage which notifications I receive and on which channels.</t>
        </is>
      </c>
      <c r="E145" s="94" t="inlineStr">
        <is>
          <t>Retained</t>
        </is>
      </c>
      <c r="F145" s="94" t="inlineStr">
        <is>
          <t>Yes</t>
        </is>
      </c>
      <c r="G145" s="87" t="n">
        <v>8</v>
      </c>
      <c r="H145" s="87" t="n">
        <v>2</v>
      </c>
      <c r="I145" s="94" t="n"/>
      <c r="J145" s="94" t="n"/>
      <c r="K145" s="148" t="inlineStr">
        <is>
          <t>Prototype Link</t>
        </is>
      </c>
      <c r="L145" s="94" t="n"/>
    </row>
    <row r="146" ht="15" customHeight="1" s="144">
      <c r="A146" s="152" t="inlineStr">
        <is>
          <t>REPORTS</t>
        </is>
      </c>
      <c r="B146" s="147" t="n"/>
      <c r="C146" s="106" t="n"/>
      <c r="D146" s="80" t="n"/>
      <c r="E146" s="106" t="n"/>
      <c r="F146" s="106" t="n"/>
      <c r="G146" s="106" t="n"/>
      <c r="H146" s="106" t="n"/>
      <c r="I146" s="106" t="n"/>
      <c r="J146" s="106" t="n"/>
      <c r="K146" s="106" t="n"/>
      <c r="L146" s="106" t="n"/>
    </row>
    <row r="147" ht="15" customHeight="1" s="144">
      <c r="A147" s="94" t="n"/>
      <c r="B147" s="94" t="inlineStr">
        <is>
          <t>Reports</t>
        </is>
      </c>
      <c r="C147" s="94" t="inlineStr">
        <is>
          <t>View approved report</t>
        </is>
      </c>
      <c r="D147" s="97" t="inlineStr">
        <is>
          <t>As a patient, I can read my report only after physician sign-off.</t>
        </is>
      </c>
      <c r="E147" s="94" t="inlineStr">
        <is>
          <t>Removed</t>
        </is>
      </c>
      <c r="F147" s="94" t="inlineStr">
        <is>
          <t>No</t>
        </is>
      </c>
      <c r="G147" s="87" t="n">
        <v>6</v>
      </c>
      <c r="H147" s="87" t="n">
        <v>6</v>
      </c>
      <c r="I147" s="94" t="n"/>
      <c r="J147" s="94" t="n"/>
      <c r="K147" s="94" t="n"/>
      <c r="L147" s="94" t="n"/>
    </row>
    <row r="148" ht="15" customHeight="1" s="144">
      <c r="A148" s="94" t="n"/>
      <c r="B148" s="94" t="inlineStr">
        <is>
          <t>Reports</t>
        </is>
      </c>
      <c r="C148" s="94" t="inlineStr">
        <is>
          <t>L / M split &amp; provenance</t>
        </is>
      </c>
      <c r="D148" s="97" t="inlineStr">
        <is>
          <t>As a patient, each marker shows lifestyle vs physician guidance and its source.</t>
        </is>
      </c>
      <c r="E148" s="94" t="inlineStr">
        <is>
          <t>Removed</t>
        </is>
      </c>
      <c r="F148" s="94" t="inlineStr">
        <is>
          <t>No</t>
        </is>
      </c>
      <c r="G148" s="87" t="n">
        <v>4</v>
      </c>
      <c r="H148" s="87" t="n">
        <v>6</v>
      </c>
      <c r="I148" s="94" t="n"/>
      <c r="J148" s="94" t="n"/>
      <c r="K148" s="94" t="n"/>
      <c r="L148" s="94" t="n"/>
    </row>
    <row r="149" ht="15" customHeight="1" s="144">
      <c r="A149" s="59" t="n"/>
      <c r="B149" s="59" t="inlineStr">
        <is>
          <t>Reports</t>
        </is>
      </c>
      <c r="C149" s="59" t="inlineStr">
        <is>
          <t>Quarter-over-quarter</t>
        </is>
      </c>
      <c r="D149" s="61" t="inlineStr">
        <is>
          <t>As a patient, I can compare reports across quarters.</t>
        </is>
      </c>
      <c r="E149" s="94" t="inlineStr">
        <is>
          <t>Removed</t>
        </is>
      </c>
      <c r="F149" s="94" t="inlineStr">
        <is>
          <t>No</t>
        </is>
      </c>
      <c r="G149" s="87" t="n">
        <v>2</v>
      </c>
      <c r="H149" s="87" t="n">
        <v>4</v>
      </c>
      <c r="I149" s="94" t="n"/>
      <c r="J149" s="94" t="n"/>
      <c r="K149" s="94" t="n"/>
      <c r="L149" s="94" t="n"/>
    </row>
    <row r="150" ht="15" customHeight="1" s="144">
      <c r="A150" s="94" t="n"/>
      <c r="B150" s="94" t="inlineStr">
        <is>
          <t>Reports</t>
        </is>
      </c>
      <c r="C150" s="94" t="inlineStr">
        <is>
          <t>View monthly summary</t>
        </is>
      </c>
      <c r="D150" s="97" t="inlineStr">
        <is>
          <t>As a patient, I can view a monthly lifestyle progress summary covering behavior and goal progress only.</t>
        </is>
      </c>
      <c r="E150" s="94" t="inlineStr">
        <is>
          <t>Removed</t>
        </is>
      </c>
      <c r="F150" s="94" t="inlineStr">
        <is>
          <t>No</t>
        </is>
      </c>
      <c r="G150" s="87" t="n">
        <v>4</v>
      </c>
      <c r="H150" s="87" t="n">
        <v>6</v>
      </c>
      <c r="I150" s="94" t="n"/>
      <c r="J150" s="94" t="n"/>
      <c r="K150" s="94" t="n"/>
      <c r="L150" s="94" t="n"/>
    </row>
    <row r="151" ht="15" customHeight="1" s="144">
      <c r="A151" s="94" t="n"/>
      <c r="B151" s="94" t="inlineStr">
        <is>
          <t>Reports</t>
        </is>
      </c>
      <c r="C151" s="94" t="inlineStr">
        <is>
          <t>Progress survey</t>
        </is>
      </c>
      <c r="D151" s="97" t="inlineStr">
        <is>
          <t>As a patient, I can complete a periodic progress survey that feeds my summary.</t>
        </is>
      </c>
      <c r="E151" s="94" t="inlineStr">
        <is>
          <t>Removed</t>
        </is>
      </c>
      <c r="F151" s="94" t="inlineStr">
        <is>
          <t>No</t>
        </is>
      </c>
      <c r="G151" s="87" t="n">
        <v>2</v>
      </c>
      <c r="H151" s="87" t="n">
        <v>4</v>
      </c>
      <c r="I151" s="94" t="n"/>
      <c r="J151" s="94" t="n"/>
      <c r="K151" s="94" t="n"/>
      <c r="L151" s="94" t="n"/>
    </row>
    <row r="152" ht="15" customHeight="1" s="144">
      <c r="A152" s="94" t="n"/>
      <c r="B152" s="152" t="n"/>
      <c r="C152" s="147" t="n"/>
      <c r="D152" s="106" t="n"/>
      <c r="E152" s="80" t="n"/>
      <c r="F152" s="106" t="n"/>
      <c r="G152" s="106" t="n"/>
      <c r="H152" s="106" t="n"/>
      <c r="I152" s="106" t="n"/>
      <c r="J152" s="106" t="n"/>
      <c r="K152" s="106" t="n"/>
      <c r="L152" s="106" t="n"/>
    </row>
    <row r="153" ht="15" customHeight="1" s="144">
      <c r="A153" s="99" t="n"/>
      <c r="B153" s="94" t="n"/>
      <c r="C153" s="94" t="n"/>
      <c r="D153" s="97" t="n"/>
      <c r="E153" s="94" t="inlineStr">
        <is>
          <t>Retained</t>
        </is>
      </c>
      <c r="F153" s="94" t="n"/>
      <c r="G153" s="94">
        <f>SUMIF(E4:E151,E153,G4:G151)</f>
        <v/>
      </c>
      <c r="H153" s="94">
        <f>SUMIF(E4:E151,E153,H4:H151)</f>
        <v/>
      </c>
      <c r="I153" s="94" t="n"/>
      <c r="J153" s="94" t="n"/>
      <c r="K153" s="94" t="n"/>
      <c r="L153" s="94" t="n"/>
    </row>
    <row r="154" ht="15" customHeight="1" s="144">
      <c r="A154" s="99" t="n"/>
      <c r="B154" s="94" t="n"/>
      <c r="C154" s="94" t="n"/>
      <c r="D154" s="97" t="n"/>
      <c r="E154" s="94" t="inlineStr">
        <is>
          <t>Modified</t>
        </is>
      </c>
      <c r="F154" s="94" t="n"/>
      <c r="G154" s="94">
        <f>SUMIF(E4:E151,E154,G4:G151)</f>
        <v/>
      </c>
      <c r="H154" s="94">
        <f>SUMIF(E4:E151,E154,H4:H151)</f>
        <v/>
      </c>
      <c r="I154" s="94" t="n"/>
      <c r="J154" s="94" t="n"/>
      <c r="K154" s="94" t="n"/>
      <c r="L154" s="94" t="n"/>
    </row>
    <row r="155" ht="15" customHeight="1" s="144">
      <c r="A155" s="100" t="n"/>
      <c r="B155" s="100" t="n"/>
      <c r="C155" s="100" t="n"/>
      <c r="D155" s="101" t="n"/>
      <c r="E155" s="94" t="inlineStr">
        <is>
          <t>New</t>
        </is>
      </c>
      <c r="F155" s="94" t="n"/>
      <c r="G155" s="94">
        <f>SUMIF(E4:E151,E155,G4:G151)</f>
        <v/>
      </c>
      <c r="H155" s="94">
        <f>SUMIF(E4:E151,E155,H4:H151)</f>
        <v/>
      </c>
      <c r="I155" s="94" t="n"/>
      <c r="J155" s="94" t="n"/>
      <c r="K155" s="94" t="n"/>
      <c r="L155" s="94" t="n"/>
    </row>
    <row r="156" ht="15" customHeight="1" s="144">
      <c r="A156" s="99" t="n"/>
      <c r="B156" s="99" t="n"/>
      <c r="C156" s="99" t="n"/>
      <c r="D156" s="19" t="n"/>
      <c r="E156" s="94" t="inlineStr">
        <is>
          <t>Removed</t>
        </is>
      </c>
      <c r="F156" s="94" t="n"/>
      <c r="G156" s="94">
        <f>SUMIF(E4:E151,E156,G4:G151)</f>
        <v/>
      </c>
      <c r="H156" s="94">
        <f>SUMIF(E4:E151,E156,H4:H151)</f>
        <v/>
      </c>
      <c r="I156" s="94" t="n"/>
      <c r="J156" s="94" t="n"/>
      <c r="K156" s="94" t="n"/>
      <c r="L156" s="94" t="n"/>
    </row>
    <row r="157" ht="15" customHeight="1" s="144">
      <c r="A157" s="99" t="n"/>
      <c r="B157" s="99" t="n"/>
      <c r="C157" s="99" t="n"/>
      <c r="D157" s="19" t="n"/>
      <c r="E157" s="100" t="inlineStr">
        <is>
          <t>Total</t>
        </is>
      </c>
      <c r="F157" s="94" t="n"/>
      <c r="G157" s="102">
        <f>SUM(G153:G155)</f>
        <v/>
      </c>
      <c r="H157" s="102">
        <f>SUM(H153:H155)</f>
        <v/>
      </c>
      <c r="I157" s="94" t="n"/>
      <c r="J157" s="94" t="n"/>
      <c r="K157" s="94" t="n"/>
      <c r="L157" s="94" t="n"/>
    </row>
    <row r="158" ht="15" customHeight="1" s="144">
      <c r="A158" s="99" t="n"/>
      <c r="B158" s="99" t="n"/>
      <c r="C158" s="99" t="n"/>
      <c r="D158" s="19" t="n"/>
      <c r="E158" s="99" t="n"/>
      <c r="F158" s="94" t="n"/>
      <c r="G158" s="94" t="n"/>
      <c r="H158" s="94" t="n"/>
      <c r="I158" s="94" t="n"/>
      <c r="J158" s="94" t="n"/>
      <c r="K158" s="94" t="n"/>
      <c r="L158" s="94" t="n"/>
    </row>
    <row r="159" ht="15" customHeight="1" s="144">
      <c r="A159" s="99" t="n"/>
      <c r="B159" s="99" t="n"/>
      <c r="C159" s="99" t="n"/>
      <c r="D159" s="19" t="n"/>
      <c r="E159" s="99" t="n"/>
      <c r="F159" s="94" t="n"/>
      <c r="G159" s="94" t="n"/>
      <c r="H159" s="94" t="n"/>
      <c r="I159" s="94" t="n"/>
      <c r="J159" s="94" t="n"/>
      <c r="K159" s="94" t="n"/>
      <c r="L159" s="94" t="n"/>
    </row>
    <row r="160" ht="15" customHeight="1" s="144">
      <c r="A160" s="94" t="n"/>
      <c r="B160" s="94" t="n"/>
      <c r="C160" s="94" t="n"/>
      <c r="D160" s="97" t="n"/>
      <c r="E160" s="94" t="n"/>
      <c r="F160" s="94" t="n"/>
      <c r="G160" s="94" t="n"/>
      <c r="H160" s="94" t="n"/>
      <c r="I160" s="94" t="n"/>
      <c r="J160" s="94" t="n"/>
      <c r="K160" s="94" t="n"/>
      <c r="L160" s="94" t="n"/>
    </row>
    <row r="161" ht="15" customHeight="1" s="144">
      <c r="A161" s="94" t="n"/>
      <c r="B161" s="94" t="n"/>
      <c r="C161" s="94" t="n"/>
      <c r="D161" s="97" t="n"/>
      <c r="E161" s="94" t="n"/>
      <c r="F161" s="94" t="n"/>
      <c r="G161" s="94" t="n"/>
      <c r="H161" s="94" t="n"/>
      <c r="I161" s="94" t="n"/>
      <c r="J161" s="94" t="n"/>
      <c r="K161" s="94" t="n"/>
      <c r="L161" s="94" t="n"/>
    </row>
  </sheetData>
  <mergeCells count="15">
    <mergeCell ref="B152:C152"/>
    <mergeCell ref="A100:B100"/>
    <mergeCell ref="A54:B54"/>
    <mergeCell ref="A105:B105"/>
    <mergeCell ref="A91:B91"/>
    <mergeCell ref="A146:B146"/>
    <mergeCell ref="A32:B32"/>
    <mergeCell ref="A127:B127"/>
    <mergeCell ref="A44:B44"/>
    <mergeCell ref="A124:B124"/>
    <mergeCell ref="A17:B17"/>
    <mergeCell ref="A67:B67"/>
    <mergeCell ref="A3:B3"/>
    <mergeCell ref="A140:B140"/>
    <mergeCell ref="A22:B22"/>
  </mergeCells>
  <dataValidations count="2">
    <dataValidation sqref="F4:F16 F18:F21 F23:F31 F33:F43 F45:F53 F55:F66 F68:F90 F92:F99 F101:F104 F106:F123 F125:F126 F128:F139 F141:F145 F147:F151" showDropDown="0" showInputMessage="0" showErrorMessage="1" allowBlank="1" type="list">
      <formula1>"Yes,No"</formula1>
    </dataValidation>
    <dataValidation sqref="E4:E16 E18:E21 E23:E31 E33:E43 E45:E53 E55:E66 E68:E90 E92:E99 E101:E104 E106:E123 E125:E126 E128:E139 E141:E145 E147:E151 E153:E156" showDropDown="0" showInputMessage="0" showErrorMessage="1" allowBlank="1" type="list">
      <formula1>"Retained,Removed,Modified,New,TBD,Covered,Status,Duplicate"</formula1>
    </dataValidation>
  </dataValidations>
  <hyperlinks>
    <hyperlink xmlns:r="http://schemas.openxmlformats.org/officeDocument/2006/relationships" ref="A2" r:id="rId1"/>
    <hyperlink xmlns:r="http://schemas.openxmlformats.org/officeDocument/2006/relationships" ref="K4" r:id="rId2"/>
    <hyperlink xmlns:r="http://schemas.openxmlformats.org/officeDocument/2006/relationships" ref="K6"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20" r:id="rId13"/>
    <hyperlink xmlns:r="http://schemas.openxmlformats.org/officeDocument/2006/relationships" ref="K26" r:id="rId14"/>
    <hyperlink xmlns:r="http://schemas.openxmlformats.org/officeDocument/2006/relationships" ref="K27" r:id="rId15"/>
    <hyperlink xmlns:r="http://schemas.openxmlformats.org/officeDocument/2006/relationships" ref="K28" r:id="rId16"/>
    <hyperlink xmlns:r="http://schemas.openxmlformats.org/officeDocument/2006/relationships" ref="K33" r:id="rId17"/>
    <hyperlink xmlns:r="http://schemas.openxmlformats.org/officeDocument/2006/relationships" ref="K34" r:id="rId18"/>
    <hyperlink xmlns:r="http://schemas.openxmlformats.org/officeDocument/2006/relationships" ref="K35" r:id="rId19"/>
    <hyperlink xmlns:r="http://schemas.openxmlformats.org/officeDocument/2006/relationships" ref="K36" r:id="rId20"/>
    <hyperlink xmlns:r="http://schemas.openxmlformats.org/officeDocument/2006/relationships" ref="K37" r:id="rId21"/>
    <hyperlink xmlns:r="http://schemas.openxmlformats.org/officeDocument/2006/relationships" ref="K38" r:id="rId22"/>
    <hyperlink xmlns:r="http://schemas.openxmlformats.org/officeDocument/2006/relationships" ref="K41" r:id="rId23"/>
    <hyperlink xmlns:r="http://schemas.openxmlformats.org/officeDocument/2006/relationships" ref="K42" r:id="rId24"/>
    <hyperlink xmlns:r="http://schemas.openxmlformats.org/officeDocument/2006/relationships" ref="K43" r:id="rId25"/>
    <hyperlink xmlns:r="http://schemas.openxmlformats.org/officeDocument/2006/relationships" ref="K45" r:id="rId26"/>
    <hyperlink xmlns:r="http://schemas.openxmlformats.org/officeDocument/2006/relationships" ref="K46" r:id="rId27"/>
    <hyperlink xmlns:r="http://schemas.openxmlformats.org/officeDocument/2006/relationships" ref="K47" r:id="rId28"/>
    <hyperlink xmlns:r="http://schemas.openxmlformats.org/officeDocument/2006/relationships" ref="K48" r:id="rId29"/>
    <hyperlink xmlns:r="http://schemas.openxmlformats.org/officeDocument/2006/relationships" ref="K49" r:id="rId30"/>
    <hyperlink xmlns:r="http://schemas.openxmlformats.org/officeDocument/2006/relationships" ref="K51" r:id="rId31"/>
    <hyperlink xmlns:r="http://schemas.openxmlformats.org/officeDocument/2006/relationships" ref="K52" r:id="rId32"/>
    <hyperlink xmlns:r="http://schemas.openxmlformats.org/officeDocument/2006/relationships" ref="K53" r:id="rId33"/>
    <hyperlink xmlns:r="http://schemas.openxmlformats.org/officeDocument/2006/relationships" ref="K55" r:id="rId34"/>
    <hyperlink xmlns:r="http://schemas.openxmlformats.org/officeDocument/2006/relationships" ref="K56" r:id="rId35"/>
    <hyperlink xmlns:r="http://schemas.openxmlformats.org/officeDocument/2006/relationships" ref="K57" r:id="rId36"/>
    <hyperlink xmlns:r="http://schemas.openxmlformats.org/officeDocument/2006/relationships" ref="K58" r:id="rId37"/>
    <hyperlink xmlns:r="http://schemas.openxmlformats.org/officeDocument/2006/relationships" ref="K59" r:id="rId38"/>
    <hyperlink xmlns:r="http://schemas.openxmlformats.org/officeDocument/2006/relationships" ref="K61" r:id="rId39"/>
    <hyperlink xmlns:r="http://schemas.openxmlformats.org/officeDocument/2006/relationships" ref="K62" r:id="rId40"/>
    <hyperlink xmlns:r="http://schemas.openxmlformats.org/officeDocument/2006/relationships" ref="K63" r:id="rId41"/>
    <hyperlink xmlns:r="http://schemas.openxmlformats.org/officeDocument/2006/relationships" ref="K64" r:id="rId42"/>
    <hyperlink xmlns:r="http://schemas.openxmlformats.org/officeDocument/2006/relationships" ref="K65" r:id="rId43"/>
    <hyperlink xmlns:r="http://schemas.openxmlformats.org/officeDocument/2006/relationships" ref="K66" r:id="rId44"/>
    <hyperlink xmlns:r="http://schemas.openxmlformats.org/officeDocument/2006/relationships" ref="K72" r:id="rId45"/>
    <hyperlink xmlns:r="http://schemas.openxmlformats.org/officeDocument/2006/relationships" ref="K73" r:id="rId46"/>
    <hyperlink xmlns:r="http://schemas.openxmlformats.org/officeDocument/2006/relationships" ref="K74" r:id="rId47"/>
    <hyperlink xmlns:r="http://schemas.openxmlformats.org/officeDocument/2006/relationships" ref="K75" r:id="rId48"/>
    <hyperlink xmlns:r="http://schemas.openxmlformats.org/officeDocument/2006/relationships" ref="K76" r:id="rId49"/>
    <hyperlink xmlns:r="http://schemas.openxmlformats.org/officeDocument/2006/relationships" ref="K77" r:id="rId50"/>
    <hyperlink xmlns:r="http://schemas.openxmlformats.org/officeDocument/2006/relationships" ref="K78" r:id="rId51"/>
    <hyperlink xmlns:r="http://schemas.openxmlformats.org/officeDocument/2006/relationships" ref="K79" r:id="rId52"/>
    <hyperlink xmlns:r="http://schemas.openxmlformats.org/officeDocument/2006/relationships" ref="K80" r:id="rId53"/>
    <hyperlink xmlns:r="http://schemas.openxmlformats.org/officeDocument/2006/relationships" ref="K81" r:id="rId54"/>
    <hyperlink xmlns:r="http://schemas.openxmlformats.org/officeDocument/2006/relationships" ref="K82" r:id="rId55"/>
    <hyperlink xmlns:r="http://schemas.openxmlformats.org/officeDocument/2006/relationships" ref="K83" r:id="rId56"/>
    <hyperlink xmlns:r="http://schemas.openxmlformats.org/officeDocument/2006/relationships" ref="K84" r:id="rId57"/>
    <hyperlink xmlns:r="http://schemas.openxmlformats.org/officeDocument/2006/relationships" ref="K85" r:id="rId58"/>
    <hyperlink xmlns:r="http://schemas.openxmlformats.org/officeDocument/2006/relationships" ref="K86" r:id="rId59"/>
    <hyperlink xmlns:r="http://schemas.openxmlformats.org/officeDocument/2006/relationships" ref="K87" r:id="rId60"/>
    <hyperlink xmlns:r="http://schemas.openxmlformats.org/officeDocument/2006/relationships" ref="K88" r:id="rId61"/>
    <hyperlink xmlns:r="http://schemas.openxmlformats.org/officeDocument/2006/relationships" ref="K89" r:id="rId62"/>
    <hyperlink xmlns:r="http://schemas.openxmlformats.org/officeDocument/2006/relationships" ref="K90" r:id="rId63"/>
    <hyperlink xmlns:r="http://schemas.openxmlformats.org/officeDocument/2006/relationships" ref="K92" r:id="rId64"/>
    <hyperlink xmlns:r="http://schemas.openxmlformats.org/officeDocument/2006/relationships" ref="K93" r:id="rId65"/>
    <hyperlink xmlns:r="http://schemas.openxmlformats.org/officeDocument/2006/relationships" ref="K94" r:id="rId66"/>
    <hyperlink xmlns:r="http://schemas.openxmlformats.org/officeDocument/2006/relationships" ref="K95" r:id="rId67"/>
    <hyperlink xmlns:r="http://schemas.openxmlformats.org/officeDocument/2006/relationships" ref="K96" r:id="rId68"/>
    <hyperlink xmlns:r="http://schemas.openxmlformats.org/officeDocument/2006/relationships" ref="K97" r:id="rId69"/>
    <hyperlink xmlns:r="http://schemas.openxmlformats.org/officeDocument/2006/relationships" ref="K98" r:id="rId70"/>
    <hyperlink xmlns:r="http://schemas.openxmlformats.org/officeDocument/2006/relationships" ref="K101" r:id="rId71"/>
    <hyperlink xmlns:r="http://schemas.openxmlformats.org/officeDocument/2006/relationships" ref="K102" r:id="rId72"/>
    <hyperlink xmlns:r="http://schemas.openxmlformats.org/officeDocument/2006/relationships" ref="K103" r:id="rId73"/>
    <hyperlink xmlns:r="http://schemas.openxmlformats.org/officeDocument/2006/relationships" ref="K104" r:id="rId74"/>
    <hyperlink xmlns:r="http://schemas.openxmlformats.org/officeDocument/2006/relationships" ref="K106" r:id="rId75"/>
    <hyperlink xmlns:r="http://schemas.openxmlformats.org/officeDocument/2006/relationships" ref="K107" r:id="rId76"/>
    <hyperlink xmlns:r="http://schemas.openxmlformats.org/officeDocument/2006/relationships" ref="K109" r:id="rId77"/>
    <hyperlink xmlns:r="http://schemas.openxmlformats.org/officeDocument/2006/relationships" ref="K112" r:id="rId78"/>
    <hyperlink xmlns:r="http://schemas.openxmlformats.org/officeDocument/2006/relationships" ref="K115" r:id="rId79"/>
    <hyperlink xmlns:r="http://schemas.openxmlformats.org/officeDocument/2006/relationships" ref="K116" r:id="rId80"/>
    <hyperlink xmlns:r="http://schemas.openxmlformats.org/officeDocument/2006/relationships" ref="K117" r:id="rId81"/>
    <hyperlink xmlns:r="http://schemas.openxmlformats.org/officeDocument/2006/relationships" ref="K118" r:id="rId82"/>
    <hyperlink xmlns:r="http://schemas.openxmlformats.org/officeDocument/2006/relationships" ref="K119" r:id="rId83"/>
    <hyperlink xmlns:r="http://schemas.openxmlformats.org/officeDocument/2006/relationships" ref="K120" r:id="rId84"/>
    <hyperlink xmlns:r="http://schemas.openxmlformats.org/officeDocument/2006/relationships" ref="K121" r:id="rId85"/>
    <hyperlink xmlns:r="http://schemas.openxmlformats.org/officeDocument/2006/relationships" ref="K122" r:id="rId86"/>
    <hyperlink xmlns:r="http://schemas.openxmlformats.org/officeDocument/2006/relationships" ref="K128" r:id="rId87"/>
    <hyperlink xmlns:r="http://schemas.openxmlformats.org/officeDocument/2006/relationships" ref="K129" r:id="rId88"/>
    <hyperlink xmlns:r="http://schemas.openxmlformats.org/officeDocument/2006/relationships" ref="K130" r:id="rId89"/>
    <hyperlink xmlns:r="http://schemas.openxmlformats.org/officeDocument/2006/relationships" ref="K131" r:id="rId90"/>
    <hyperlink xmlns:r="http://schemas.openxmlformats.org/officeDocument/2006/relationships" ref="K132" r:id="rId91"/>
    <hyperlink xmlns:r="http://schemas.openxmlformats.org/officeDocument/2006/relationships" ref="K135" r:id="rId92"/>
    <hyperlink xmlns:r="http://schemas.openxmlformats.org/officeDocument/2006/relationships" ref="K136" r:id="rId93"/>
    <hyperlink xmlns:r="http://schemas.openxmlformats.org/officeDocument/2006/relationships" ref="K137" r:id="rId94"/>
    <hyperlink xmlns:r="http://schemas.openxmlformats.org/officeDocument/2006/relationships" ref="K138" r:id="rId95"/>
    <hyperlink xmlns:r="http://schemas.openxmlformats.org/officeDocument/2006/relationships" ref="K139" r:id="rId96"/>
    <hyperlink xmlns:r="http://schemas.openxmlformats.org/officeDocument/2006/relationships" ref="K141" r:id="rId97"/>
    <hyperlink xmlns:r="http://schemas.openxmlformats.org/officeDocument/2006/relationships" ref="K142" r:id="rId98"/>
    <hyperlink xmlns:r="http://schemas.openxmlformats.org/officeDocument/2006/relationships" ref="K143" r:id="rId99"/>
    <hyperlink xmlns:r="http://schemas.openxmlformats.org/officeDocument/2006/relationships" ref="K144" r:id="rId100"/>
    <hyperlink xmlns:r="http://schemas.openxmlformats.org/officeDocument/2006/relationships" ref="K145" r:id="rId101"/>
  </hyperlinks>
  <pageMargins left="0.7" right="0.7" top="0.75" bottom="0.75" header="0" footer="0"/>
  <pageSetup orientation="landscape" paperSize="9"/>
</worksheet>
</file>

<file path=xl/worksheets/sheet7.xml><?xml version="1.0" encoding="utf-8"?>
<worksheet xmlns="http://schemas.openxmlformats.org/spreadsheetml/2006/main">
  <sheetPr>
    <outlinePr summaryBelow="1" summaryRight="1"/>
    <pageSetUpPr/>
  </sheetPr>
  <dimension ref="A1:J107"/>
  <sheetViews>
    <sheetView showGridLines="0"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width="5" customWidth="1" style="144" min="1" max="1"/>
    <col width="17" customWidth="1" style="144" min="2" max="2"/>
    <col width="22.86" customWidth="1" style="144" min="3" max="3"/>
    <col width="79.56999999999999" customWidth="1" style="144" min="4" max="4"/>
    <col width="13.43" customWidth="1" style="144" min="5" max="5"/>
    <col width="19.43" customWidth="1" style="144" min="6" max="6"/>
    <col width="19.14" customWidth="1" style="144" min="7" max="7"/>
    <col width="12.29" customWidth="1" style="144" min="8" max="8"/>
    <col width="12.43" customWidth="1" style="144" min="9" max="9"/>
    <col width="38.86" customWidth="1" style="144" min="10" max="10"/>
  </cols>
  <sheetData>
    <row r="1">
      <c r="A1" s="85" t="n"/>
      <c r="B1" s="85" t="n"/>
      <c r="C1" s="85" t="n"/>
      <c r="D1" s="85" t="n"/>
      <c r="E1" s="85" t="n"/>
      <c r="F1" s="85" t="n"/>
      <c r="G1" s="85" t="n"/>
      <c r="H1" s="85">
        <f>sum(H4:H92)</f>
        <v/>
      </c>
      <c r="I1" s="85">
        <f>sum(I4:I92)</f>
        <v/>
      </c>
      <c r="J1" s="85" t="n"/>
    </row>
    <row r="2">
      <c r="A2" s="9" t="inlineStr">
        <is>
          <t>Sr</t>
        </is>
      </c>
      <c r="B2" s="9" t="inlineStr">
        <is>
          <t>Module</t>
        </is>
      </c>
      <c r="C2" s="9" t="inlineStr">
        <is>
          <t>Capability</t>
        </is>
      </c>
      <c r="D2" s="9" t="inlineStr">
        <is>
          <t>User Story</t>
        </is>
      </c>
      <c r="E2" s="9" t="inlineStr">
        <is>
          <t>Required</t>
        </is>
      </c>
      <c r="F2" s="9" t="inlineStr">
        <is>
          <t>Priority</t>
        </is>
      </c>
      <c r="G2" s="9" t="inlineStr">
        <is>
          <t>Status</t>
        </is>
      </c>
      <c r="H2" s="9" t="inlineStr">
        <is>
          <t>Frontend</t>
        </is>
      </c>
      <c r="I2" s="9" t="inlineStr">
        <is>
          <t>Backend</t>
        </is>
      </c>
      <c r="J2" s="9" t="inlineStr">
        <is>
          <t>Comments</t>
        </is>
      </c>
    </row>
    <row r="3">
      <c r="A3" s="14" t="inlineStr">
        <is>
          <t>LHOR — LONGITUDINAL RECORD</t>
        </is>
      </c>
      <c r="B3" s="86" t="n"/>
      <c r="C3" s="108" t="n"/>
      <c r="D3" s="108" t="n"/>
      <c r="E3" s="89" t="n"/>
      <c r="F3" s="89" t="n"/>
      <c r="G3" s="108" t="n"/>
      <c r="H3" s="108" t="n"/>
      <c r="I3" s="108" t="n"/>
      <c r="J3" s="108" t="n"/>
    </row>
    <row r="4">
      <c r="A4" s="107" t="n"/>
      <c r="B4" s="25" t="inlineStr">
        <is>
          <t>Normalization</t>
        </is>
      </c>
      <c r="C4" s="25" t="inlineStr">
        <is>
          <t>Normalize inputs</t>
        </is>
      </c>
      <c r="D4" s="25" t="inlineStr">
        <is>
          <t>As the system, I normalize labs, wearables, uploads and intake into comparable units and ranges.</t>
        </is>
      </c>
      <c r="E4" s="105" t="inlineStr">
        <is>
          <t>Yes</t>
        </is>
      </c>
      <c r="F4" s="105" t="inlineStr">
        <is>
          <t>Must Have</t>
        </is>
      </c>
      <c r="G4" s="94" t="inlineStr">
        <is>
          <t>Covered</t>
        </is>
      </c>
      <c r="H4" s="107" t="n">
        <v>12</v>
      </c>
      <c r="I4" s="107" t="n">
        <v>24</v>
      </c>
      <c r="J4" s="25" t="n"/>
    </row>
    <row r="5">
      <c r="A5" s="107" t="n"/>
      <c r="B5" s="25" t="inlineStr">
        <is>
          <t>Normalization</t>
        </is>
      </c>
      <c r="C5" s="25" t="inlineStr">
        <is>
          <t>Provenance &amp; original values</t>
        </is>
      </c>
      <c r="D5" s="25" t="inlineStr">
        <is>
          <t>As the system, I store each value with source, date, unit, range, status, original + normalized.</t>
        </is>
      </c>
      <c r="E5" s="105" t="inlineStr">
        <is>
          <t>Yes</t>
        </is>
      </c>
      <c r="F5" s="105" t="inlineStr">
        <is>
          <t>Must Have</t>
        </is>
      </c>
      <c r="G5" s="94" t="inlineStr">
        <is>
          <t>Covered</t>
        </is>
      </c>
      <c r="H5" s="107" t="n">
        <v>8</v>
      </c>
      <c r="I5" s="107" t="n">
        <v>16</v>
      </c>
      <c r="J5" s="25" t="n"/>
    </row>
    <row r="6">
      <c r="A6" s="107" t="n"/>
      <c r="B6" s="25" t="inlineStr">
        <is>
          <t>Normalization</t>
        </is>
      </c>
      <c r="C6" s="25" t="inlineStr">
        <is>
          <t>Deduplication</t>
        </is>
      </c>
      <c r="D6" s="25" t="inlineStr">
        <is>
          <t>As the system, I deduplicate overlapping records across sources.</t>
        </is>
      </c>
      <c r="E6" s="105" t="inlineStr">
        <is>
          <t>Yes</t>
        </is>
      </c>
      <c r="F6" s="105" t="inlineStr">
        <is>
          <t>Must Have</t>
        </is>
      </c>
      <c r="G6" s="94" t="inlineStr">
        <is>
          <t>Covered</t>
        </is>
      </c>
      <c r="H6" s="107" t="n">
        <v>6</v>
      </c>
      <c r="I6" s="107" t="n">
        <v>12</v>
      </c>
      <c r="J6" s="25" t="n"/>
    </row>
    <row r="7">
      <c r="A7" s="107" t="n"/>
      <c r="B7" s="25" t="inlineStr">
        <is>
          <t>Record</t>
        </is>
      </c>
      <c r="C7" s="25" t="inlineStr">
        <is>
          <t>Longitudinal DB</t>
        </is>
      </c>
      <c r="D7" s="25" t="inlineStr">
        <is>
          <t>As the system, I maintain one time-series longitudinal record per patient.</t>
        </is>
      </c>
      <c r="E7" s="105" t="inlineStr">
        <is>
          <t>Yes</t>
        </is>
      </c>
      <c r="F7" s="105" t="inlineStr">
        <is>
          <t>Must Have</t>
        </is>
      </c>
      <c r="G7" s="94" t="inlineStr">
        <is>
          <t>Covered</t>
        </is>
      </c>
      <c r="H7" s="107" t="n">
        <v>12</v>
      </c>
      <c r="I7" s="107" t="n">
        <v>24</v>
      </c>
      <c r="J7" s="25" t="n"/>
    </row>
    <row r="8">
      <c r="A8" s="107" t="n"/>
      <c r="B8" s="25" t="inlineStr">
        <is>
          <t>Record</t>
        </is>
      </c>
      <c r="C8" s="25" t="inlineStr">
        <is>
          <t>16-entity data model</t>
        </is>
      </c>
      <c r="D8" s="25" t="inlineStr">
        <is>
          <t>As the system, I persist the full data model (observation, goal, intervention, alert, etc.).</t>
        </is>
      </c>
      <c r="E8" s="105" t="inlineStr">
        <is>
          <t>Yes</t>
        </is>
      </c>
      <c r="F8" s="105" t="inlineStr">
        <is>
          <t>Must Have</t>
        </is>
      </c>
      <c r="G8" s="94" t="inlineStr">
        <is>
          <t>Covered</t>
        </is>
      </c>
      <c r="H8" s="107" t="n">
        <v>12</v>
      </c>
      <c r="I8" s="107" t="n">
        <v>20</v>
      </c>
      <c r="J8" s="25" t="n"/>
    </row>
    <row r="9">
      <c r="A9" s="107" t="n"/>
      <c r="B9" s="25" t="inlineStr">
        <is>
          <t>Record</t>
        </is>
      </c>
      <c r="C9" s="25" t="inlineStr">
        <is>
          <t>Document store</t>
        </is>
      </c>
      <c r="D9" s="25" t="inlineStr">
        <is>
          <t>As the system, I store uploads/reports in private encrypted S3 with a review status.</t>
        </is>
      </c>
      <c r="E9" s="105" t="inlineStr">
        <is>
          <t>Yes</t>
        </is>
      </c>
      <c r="F9" s="105" t="inlineStr">
        <is>
          <t>Must Have</t>
        </is>
      </c>
      <c r="G9" s="94" t="inlineStr">
        <is>
          <t>Covered</t>
        </is>
      </c>
      <c r="H9" s="107" t="n">
        <v>6</v>
      </c>
      <c r="I9" s="107" t="n">
        <v>12</v>
      </c>
      <c r="J9" s="25" t="n"/>
    </row>
    <row r="10">
      <c r="A10" s="107" t="n"/>
      <c r="B10" s="25" t="inlineStr">
        <is>
          <t>Record</t>
        </is>
      </c>
      <c r="C10" s="25" t="inlineStr">
        <is>
          <t>Idempotent imports</t>
        </is>
      </c>
      <c r="D10" s="25" t="inlineStr">
        <is>
          <t>As the system, imports are idempotent with reconciliation reports.</t>
        </is>
      </c>
      <c r="E10" s="105" t="inlineStr">
        <is>
          <t>Yes</t>
        </is>
      </c>
      <c r="F10" s="105" t="inlineStr">
        <is>
          <t>Must Have</t>
        </is>
      </c>
      <c r="G10" s="94" t="inlineStr">
        <is>
          <t>Covered</t>
        </is>
      </c>
      <c r="H10" s="107" t="n">
        <v>6</v>
      </c>
      <c r="I10" s="107" t="n">
        <v>12</v>
      </c>
      <c r="J10" s="25" t="n"/>
    </row>
    <row r="11">
      <c r="A11" s="90" t="n"/>
      <c r="B11" s="91" t="inlineStr">
        <is>
          <t>Provenance</t>
        </is>
      </c>
      <c r="C11" s="91" t="inlineStr">
        <is>
          <t>Six provenance labels</t>
        </is>
      </c>
      <c r="D11" s="91" t="inlineStr">
        <is>
          <t>As the system, every item carries a provenance label — verified source, clinician documented, patient reported, device derived, AI inferred, physician confirmed — kept visibly distinct.</t>
        </is>
      </c>
      <c r="E11" s="105" t="inlineStr">
        <is>
          <t>Yes</t>
        </is>
      </c>
      <c r="F11" s="105" t="inlineStr">
        <is>
          <t>Must Have</t>
        </is>
      </c>
      <c r="G11" s="94" t="inlineStr">
        <is>
          <t>Covered</t>
        </is>
      </c>
      <c r="H11" s="92" t="n">
        <v>10</v>
      </c>
      <c r="I11" s="92" t="n">
        <v>20</v>
      </c>
      <c r="J11" s="93" t="n"/>
    </row>
    <row r="12">
      <c r="A12" s="90" t="n"/>
      <c r="B12" s="91" t="inlineStr">
        <is>
          <t>Provenance</t>
        </is>
      </c>
      <c r="C12" s="91" t="inlineStr">
        <is>
          <t>No silent AI-to-fact writes</t>
        </is>
      </c>
      <c r="D12" s="91" t="inlineStr">
        <is>
          <t>As the system, AI inferences and patient-reported items are never silently converted into verified or physician-confirmed facts.</t>
        </is>
      </c>
      <c r="E12" s="105" t="inlineStr">
        <is>
          <t>Yes</t>
        </is>
      </c>
      <c r="F12" s="105" t="inlineStr">
        <is>
          <t>Must Have</t>
        </is>
      </c>
      <c r="G12" s="94" t="inlineStr">
        <is>
          <t>Covered</t>
        </is>
      </c>
      <c r="H12" s="92" t="n">
        <v>6</v>
      </c>
      <c r="I12" s="92" t="n">
        <v>14</v>
      </c>
      <c r="J12" s="93" t="n"/>
    </row>
    <row r="13">
      <c r="A13" s="90" t="n"/>
      <c r="B13" s="91" t="inlineStr">
        <is>
          <t>Provenance</t>
        </is>
      </c>
      <c r="C13" s="91" t="inlineStr">
        <is>
          <t>Gaps &amp; conflicts disclosed</t>
        </is>
      </c>
      <c r="D13" s="91" t="inlineStr">
        <is>
          <t>As the system, I state the period and count of values reviewed, disclose material gaps, and show conflicting values as conflicts until reconciled.</t>
        </is>
      </c>
      <c r="E13" s="105" t="inlineStr">
        <is>
          <t>Yes</t>
        </is>
      </c>
      <c r="F13" s="105" t="inlineStr">
        <is>
          <t>Must Have</t>
        </is>
      </c>
      <c r="G13" s="94" t="inlineStr">
        <is>
          <t>Covered</t>
        </is>
      </c>
      <c r="H13" s="92" t="n">
        <v>8</v>
      </c>
      <c r="I13" s="92" t="n">
        <v>16</v>
      </c>
      <c r="J13" s="93" t="n"/>
    </row>
    <row r="14">
      <c r="A14" s="90" t="n"/>
      <c r="B14" s="91" t="inlineStr">
        <is>
          <t>Provenance</t>
        </is>
      </c>
      <c r="C14" s="91" t="inlineStr">
        <is>
          <t>Assay/unit trend compatibility</t>
        </is>
      </c>
      <c r="D14" s="91" t="inlineStr">
        <is>
          <t>As the system, I do not trend values across incompatible units, methods or populations without labeling the limitation.</t>
        </is>
      </c>
      <c r="E14" s="105" t="inlineStr">
        <is>
          <t>Yes</t>
        </is>
      </c>
      <c r="F14" s="105" t="inlineStr">
        <is>
          <t>Must Have</t>
        </is>
      </c>
      <c r="G14" s="94" t="inlineStr">
        <is>
          <t>Covered</t>
        </is>
      </c>
      <c r="H14" s="92" t="n">
        <v>8</v>
      </c>
      <c r="I14" s="92" t="n">
        <v>16</v>
      </c>
      <c r="J14" s="93" t="n"/>
    </row>
    <row r="15">
      <c r="A15" s="90" t="n"/>
      <c r="B15" s="91" t="inlineStr">
        <is>
          <t>Provenance</t>
        </is>
      </c>
      <c r="C15" s="91" t="inlineStr">
        <is>
          <t>Auditable patient corrections</t>
        </is>
      </c>
      <c r="D15" s="91" t="inlineStr">
        <is>
          <t>As the system, patient corrections keep the original entry, request, decision and corrected display traceable.</t>
        </is>
      </c>
      <c r="E15" s="105" t="inlineStr">
        <is>
          <t>Yes</t>
        </is>
      </c>
      <c r="F15" s="105" t="inlineStr">
        <is>
          <t>Must Have</t>
        </is>
      </c>
      <c r="G15" s="94" t="inlineStr">
        <is>
          <t>Covered</t>
        </is>
      </c>
      <c r="H15" s="92" t="n">
        <v>6</v>
      </c>
      <c r="I15" s="92" t="n">
        <v>12</v>
      </c>
      <c r="J15" s="93" t="n"/>
    </row>
    <row r="16">
      <c r="A16" s="14" t="inlineStr">
        <is>
          <t>AI INTELLIGENCE LAYER</t>
        </is>
      </c>
      <c r="B16" s="86" t="n"/>
      <c r="C16" s="108" t="n"/>
      <c r="D16" s="108" t="n"/>
      <c r="E16" s="89" t="n"/>
      <c r="F16" s="89" t="n"/>
      <c r="G16" s="108" t="n"/>
      <c r="H16" s="108" t="n"/>
      <c r="I16" s="108" t="n"/>
      <c r="J16" s="108" t="n"/>
    </row>
    <row r="17">
      <c r="A17" s="107" t="n"/>
      <c r="B17" s="25" t="inlineStr">
        <is>
          <t>Model</t>
        </is>
      </c>
      <c r="C17" s="25" t="inlineStr">
        <is>
          <t>Pre-trained commercial model via API</t>
        </is>
      </c>
      <c r="D17" s="25" t="inlineStr">
        <is>
          <t>As the system, I call a pre-trained commercial healthcare model via API (OpenAI/Anthropic); HOL does not train or self-host a model.</t>
        </is>
      </c>
      <c r="E17" s="105" t="inlineStr">
        <is>
          <t>Yes</t>
        </is>
      </c>
      <c r="F17" s="105" t="inlineStr">
        <is>
          <t>Must Have</t>
        </is>
      </c>
      <c r="G17" s="94" t="inlineStr">
        <is>
          <t>Covered</t>
        </is>
      </c>
      <c r="H17" s="107" t="n">
        <v>8</v>
      </c>
      <c r="I17" s="107" t="n">
        <v>16</v>
      </c>
      <c r="J17" s="25" t="n"/>
    </row>
    <row r="18">
      <c r="A18" s="107" t="n"/>
      <c r="B18" s="25" t="inlineStr">
        <is>
          <t>Orchestration</t>
        </is>
      </c>
      <c r="C18" s="25" t="inlineStr">
        <is>
          <t>Context assembly</t>
        </is>
      </c>
      <c r="D18" s="25" t="inlineStr">
        <is>
          <t>As the system, I assemble patient context + protocols for each call.</t>
        </is>
      </c>
      <c r="E18" s="105" t="inlineStr">
        <is>
          <t>Yes</t>
        </is>
      </c>
      <c r="F18" s="105" t="inlineStr">
        <is>
          <t>Must Have</t>
        </is>
      </c>
      <c r="G18" s="94" t="inlineStr">
        <is>
          <t>Covered</t>
        </is>
      </c>
      <c r="H18" s="107" t="n">
        <v>12</v>
      </c>
      <c r="I18" s="107" t="n">
        <v>20</v>
      </c>
      <c r="J18" s="25" t="n"/>
    </row>
    <row r="19">
      <c r="A19" s="107" t="n"/>
      <c r="B19" s="25" t="inlineStr">
        <is>
          <t>Retrieval</t>
        </is>
      </c>
      <c r="C19" s="25" t="inlineStr">
        <is>
          <t>Protocol retrieval + grounding</t>
        </is>
      </c>
      <c r="D19" s="25" t="inlineStr">
        <is>
          <t>As the system, I retrieve relevant SOPs and ground output in the patient's data.</t>
        </is>
      </c>
      <c r="E19" s="105" t="inlineStr">
        <is>
          <t>Yes</t>
        </is>
      </c>
      <c r="F19" s="105" t="inlineStr">
        <is>
          <t>Must Have</t>
        </is>
      </c>
      <c r="G19" s="94" t="inlineStr">
        <is>
          <t>Covered</t>
        </is>
      </c>
      <c r="H19" s="107" t="n">
        <v>12</v>
      </c>
      <c r="I19" s="107" t="n">
        <v>20</v>
      </c>
      <c r="J19" s="25" t="n"/>
    </row>
    <row r="20">
      <c r="A20" s="107" t="n"/>
      <c r="B20" s="25" t="inlineStr">
        <is>
          <t>Generation</t>
        </is>
      </c>
      <c r="C20" s="25" t="inlineStr">
        <is>
          <t>Report + digest generation</t>
        </is>
      </c>
      <c r="D20" s="25" t="inlineStr">
        <is>
          <t>As the system, I generate the optimization report, personalized protocol and physician digest.</t>
        </is>
      </c>
      <c r="E20" s="105" t="inlineStr">
        <is>
          <t>Yes</t>
        </is>
      </c>
      <c r="F20" s="105" t="inlineStr">
        <is>
          <t>Must Have</t>
        </is>
      </c>
      <c r="G20" s="94" t="inlineStr">
        <is>
          <t>Covered</t>
        </is>
      </c>
      <c r="H20" s="107" t="n">
        <v>12</v>
      </c>
      <c r="I20" s="107" t="n">
        <v>20</v>
      </c>
      <c r="J20" s="25" t="n"/>
    </row>
    <row r="21" ht="15.75" customHeight="1" s="144">
      <c r="A21" s="107" t="n"/>
      <c r="B21" s="25" t="inlineStr">
        <is>
          <t>Generation</t>
        </is>
      </c>
      <c r="C21" s="25" t="inlineStr">
        <is>
          <t>Structured outputs</t>
        </is>
      </c>
      <c r="D21" s="25" t="inlineStr">
        <is>
          <t>As the system, outputs are structured/constrained and traceable to source.</t>
        </is>
      </c>
      <c r="E21" s="105" t="inlineStr">
        <is>
          <t>Yes</t>
        </is>
      </c>
      <c r="F21" s="105" t="inlineStr">
        <is>
          <t>Must Have</t>
        </is>
      </c>
      <c r="G21" s="94" t="inlineStr">
        <is>
          <t>Covered</t>
        </is>
      </c>
      <c r="H21" s="107" t="n">
        <v>8</v>
      </c>
      <c r="I21" s="107" t="n">
        <v>14</v>
      </c>
      <c r="J21" s="25" t="n"/>
    </row>
    <row r="22" ht="15.75" customHeight="1" s="144">
      <c r="A22" s="107" t="n"/>
      <c r="B22" s="25" t="inlineStr">
        <is>
          <t>Evaluation</t>
        </is>
      </c>
      <c r="C22" s="25" t="inlineStr">
        <is>
          <t>Evaluation harness</t>
        </is>
      </c>
      <c r="D22" s="25" t="inlineStr">
        <is>
          <t>As the system, every change is regression-tested against graded clinical cases before shipping.</t>
        </is>
      </c>
      <c r="E22" s="105" t="inlineStr">
        <is>
          <t>Yes</t>
        </is>
      </c>
      <c r="F22" s="105" t="inlineStr">
        <is>
          <t>Must Have</t>
        </is>
      </c>
      <c r="G22" s="94" t="inlineStr">
        <is>
          <t>Covered</t>
        </is>
      </c>
      <c r="H22" s="107" t="n">
        <v>12</v>
      </c>
      <c r="I22" s="107" t="n">
        <v>20</v>
      </c>
      <c r="J22" s="25" t="n"/>
    </row>
    <row r="23" ht="15.75" customHeight="1" s="144">
      <c r="A23" s="107" t="n"/>
      <c r="B23" s="25" t="inlineStr">
        <is>
          <t>Evaluation</t>
        </is>
      </c>
      <c r="C23" s="25" t="inlineStr">
        <is>
          <t>Output versioning</t>
        </is>
      </c>
      <c r="D23" s="25" t="inlineStr">
        <is>
          <t>As the system, outputs are versioned so vendor updates can't silently change behavior.</t>
        </is>
      </c>
      <c r="E23" s="105" t="inlineStr">
        <is>
          <t>Yes</t>
        </is>
      </c>
      <c r="F23" s="105" t="inlineStr">
        <is>
          <t>Must Have</t>
        </is>
      </c>
      <c r="G23" s="94" t="inlineStr">
        <is>
          <t>Covered</t>
        </is>
      </c>
      <c r="H23" s="107" t="n">
        <v>6</v>
      </c>
      <c r="I23" s="107" t="n">
        <v>12</v>
      </c>
      <c r="J23" s="25" t="n"/>
    </row>
    <row r="24" ht="15.75" customHeight="1" s="144">
      <c r="A24" s="107" t="n"/>
      <c r="B24" s="25" t="inlineStr">
        <is>
          <t>Monitoring</t>
        </is>
      </c>
      <c r="C24" s="25" t="inlineStr">
        <is>
          <t>Live safety monitoring</t>
        </is>
      </c>
      <c r="D24" s="25" t="inlineStr">
        <is>
          <t>As the system, I monitor live outputs for safety incidents with a correction path.</t>
        </is>
      </c>
      <c r="E24" s="105" t="inlineStr">
        <is>
          <t>Yes</t>
        </is>
      </c>
      <c r="F24" s="105" t="inlineStr">
        <is>
          <t>Must Have</t>
        </is>
      </c>
      <c r="G24" s="94" t="inlineStr">
        <is>
          <t>Covered</t>
        </is>
      </c>
      <c r="H24" s="107" t="n">
        <v>6</v>
      </c>
      <c r="I24" s="107" t="n">
        <v>12</v>
      </c>
      <c r="J24" s="25" t="n"/>
    </row>
    <row r="25" ht="15.75" customHeight="1" s="144">
      <c r="A25" s="107" t="n"/>
      <c r="B25" s="25" t="inlineStr">
        <is>
          <t>Metering</t>
        </is>
      </c>
      <c r="C25" s="25" t="inlineStr">
        <is>
          <t>Usage metering</t>
        </is>
      </c>
      <c r="D25" s="25" t="inlineStr">
        <is>
          <t>As the system, I meter AI usage against the allotment and flag overage.</t>
        </is>
      </c>
      <c r="E25" s="105" t="inlineStr">
        <is>
          <t>Yes</t>
        </is>
      </c>
      <c r="F25" s="105" t="inlineStr">
        <is>
          <t>Must Have</t>
        </is>
      </c>
      <c r="G25" s="94" t="inlineStr">
        <is>
          <t>Covered</t>
        </is>
      </c>
      <c r="H25" s="107" t="n">
        <v>6</v>
      </c>
      <c r="I25" s="107" t="n">
        <v>10</v>
      </c>
      <c r="J25" s="25" t="n"/>
    </row>
    <row r="26" ht="15.75" customHeight="1" s="144">
      <c r="A26" s="90" t="n"/>
      <c r="B26" s="98" t="inlineStr">
        <is>
          <t>Evidence</t>
        </is>
      </c>
      <c r="C26" s="98" t="inlineStr">
        <is>
          <t>Versioned evidence library</t>
        </is>
      </c>
      <c r="D26" s="98" t="inlineStr">
        <is>
          <t>As the system, substantive claims are generated by retrieval from a controlled, versioned source library, not from model memory.</t>
        </is>
      </c>
      <c r="E26" s="105" t="inlineStr">
        <is>
          <t>Yes</t>
        </is>
      </c>
      <c r="F26" s="105" t="inlineStr">
        <is>
          <t>Must Have</t>
        </is>
      </c>
      <c r="G26" s="94" t="inlineStr">
        <is>
          <t>Covered</t>
        </is>
      </c>
      <c r="H26" s="92" t="n">
        <v>14</v>
      </c>
      <c r="I26" s="92" t="n">
        <v>26</v>
      </c>
      <c r="J26" s="93" t="n"/>
    </row>
    <row r="27" ht="15.75" customHeight="1" s="144">
      <c r="A27" s="90" t="n"/>
      <c r="B27" s="98" t="inlineStr">
        <is>
          <t>Evidence</t>
        </is>
      </c>
      <c r="C27" s="98" t="inlineStr">
        <is>
          <t>Evidence tiering (A–D + excluded)</t>
        </is>
      </c>
      <c r="D27" s="98" t="inlineStr">
        <is>
          <t>As the system, every recommendation retains source, date, evidence tier, population, review date and approving authority; excluded sources cannot justify a recommendation.</t>
        </is>
      </c>
      <c r="E27" s="105" t="inlineStr">
        <is>
          <t>Yes</t>
        </is>
      </c>
      <c r="F27" s="105" t="inlineStr">
        <is>
          <t>Must Have</t>
        </is>
      </c>
      <c r="G27" s="94" t="inlineStr">
        <is>
          <t>Covered</t>
        </is>
      </c>
      <c r="H27" s="92" t="n">
        <v>8</v>
      </c>
      <c r="I27" s="92" t="n">
        <v>16</v>
      </c>
      <c r="J27" s="93" t="n"/>
    </row>
    <row r="28" ht="15.75" customHeight="1" s="144">
      <c r="A28" s="90" t="n"/>
      <c r="B28" s="98" t="inlineStr">
        <is>
          <t>Evidence</t>
        </is>
      </c>
      <c r="C28" s="98" t="inlineStr">
        <is>
          <t>Disagreement handling</t>
        </is>
      </c>
      <c r="D28" s="98" t="inlineStr">
        <is>
          <t>As the system, when approved sources disagree I describe the disagreement rather than pick the most aggressive optimization position.</t>
        </is>
      </c>
      <c r="E28" s="105" t="inlineStr">
        <is>
          <t>Yes</t>
        </is>
      </c>
      <c r="F28" s="105" t="inlineStr">
        <is>
          <t>Must Have</t>
        </is>
      </c>
      <c r="G28" s="94" t="inlineStr">
        <is>
          <t>Covered</t>
        </is>
      </c>
      <c r="H28" s="92" t="n">
        <v>4</v>
      </c>
      <c r="I28" s="92" t="n">
        <v>8</v>
      </c>
      <c r="J28" s="93" t="n"/>
    </row>
    <row r="29" ht="15.75" customHeight="1" s="144">
      <c r="A29" s="90" t="n"/>
      <c r="B29" s="98" t="inlineStr">
        <is>
          <t>AI answers</t>
        </is>
      </c>
      <c r="C29" s="98" t="inlineStr">
        <is>
          <t>8-part answer standard</t>
        </is>
      </c>
      <c r="D29" s="98" t="inlineStr">
        <is>
          <t>As the system, every substantive answer contains the 8 required parts (direct answer, record shows, comparison, possibilities, what it doesn't prove, safe action, escalation status, physician question) with confidence.</t>
        </is>
      </c>
      <c r="E29" s="105" t="inlineStr">
        <is>
          <t>Yes</t>
        </is>
      </c>
      <c r="F29" s="105" t="inlineStr">
        <is>
          <t>Must Have</t>
        </is>
      </c>
      <c r="G29" s="94" t="inlineStr">
        <is>
          <t>Covered</t>
        </is>
      </c>
      <c r="H29" s="92" t="n">
        <v>12</v>
      </c>
      <c r="I29" s="92" t="n">
        <v>20</v>
      </c>
      <c r="J29" s="93" t="n"/>
    </row>
    <row r="30" ht="15.75" customHeight="1" s="144">
      <c r="A30" s="90" t="n"/>
      <c r="B30" s="98" t="inlineStr">
        <is>
          <t>AI answers</t>
        </is>
      </c>
      <c r="C30" s="98" t="inlineStr">
        <is>
          <t>Visible calibrated uncertainty</t>
        </is>
      </c>
      <c r="D30" s="98" t="inlineStr">
        <is>
          <t>As the system, I express high/moderate/low confidence in plain language and never hide low confidence behind fluent wording.</t>
        </is>
      </c>
      <c r="E30" s="105" t="inlineStr">
        <is>
          <t>Yes</t>
        </is>
      </c>
      <c r="F30" s="105" t="inlineStr">
        <is>
          <t>Must Have</t>
        </is>
      </c>
      <c r="G30" s="94" t="inlineStr">
        <is>
          <t>Covered</t>
        </is>
      </c>
      <c r="H30" s="92" t="n">
        <v>4</v>
      </c>
      <c r="I30" s="92" t="n">
        <v>8</v>
      </c>
      <c r="J30" s="93" t="n"/>
    </row>
    <row r="31" ht="15.75" customHeight="1" s="144">
      <c r="A31" s="90" t="n"/>
      <c r="B31" s="98" t="inlineStr">
        <is>
          <t>AI answers</t>
        </is>
      </c>
      <c r="C31" s="98" t="inlineStr">
        <is>
          <t>Prompt-injection defense (tested)</t>
        </is>
      </c>
      <c r="D31" s="98" t="inlineStr">
        <is>
          <t>As the system, uploaded documents, web content and patient messages are treated as data, never instructions, and this is adversarially tested.</t>
        </is>
      </c>
      <c r="E31" s="105" t="inlineStr">
        <is>
          <t>Yes</t>
        </is>
      </c>
      <c r="F31" s="105" t="inlineStr">
        <is>
          <t>Must Have</t>
        </is>
      </c>
      <c r="G31" s="94" t="inlineStr">
        <is>
          <t>Covered</t>
        </is>
      </c>
      <c r="H31" s="92" t="n">
        <v>8</v>
      </c>
      <c r="I31" s="92" t="n">
        <v>16</v>
      </c>
      <c r="J31" s="93" t="n"/>
    </row>
    <row r="32" ht="15.75" customHeight="1" s="144">
      <c r="A32" s="90" t="n"/>
      <c r="B32" s="98" t="inlineStr">
        <is>
          <t>Change control</t>
        </is>
      </c>
      <c r="C32" s="98" t="inlineStr">
        <is>
          <t>Model/prompt/policy versioning</t>
        </is>
      </c>
      <c r="D32" s="98" t="inlineStr">
        <is>
          <t>As the system, model, prompt, tools, evidence and policy versions are pinned; no silent production updates.</t>
        </is>
      </c>
      <c r="E32" s="105" t="inlineStr">
        <is>
          <t>Yes</t>
        </is>
      </c>
      <c r="F32" s="105" t="inlineStr">
        <is>
          <t>Must Have</t>
        </is>
      </c>
      <c r="G32" s="94" t="inlineStr">
        <is>
          <t>Covered</t>
        </is>
      </c>
      <c r="H32" s="92" t="n">
        <v>8</v>
      </c>
      <c r="I32" s="92" t="n">
        <v>16</v>
      </c>
      <c r="J32" s="93" t="n"/>
    </row>
    <row r="33" ht="15.75" customHeight="1" s="144">
      <c r="A33" s="90" t="n"/>
      <c r="B33" s="98" t="inlineStr">
        <is>
          <t>Change control</t>
        </is>
      </c>
      <c r="C33" s="98" t="inlineStr">
        <is>
          <t>Regression + staged rollout + rollback</t>
        </is>
      </c>
      <c r="D33" s="98" t="inlineStr">
        <is>
          <t>As the system, any change is regression-tested against the clinical safety set, rolled out in stages, and can be rolled back.</t>
        </is>
      </c>
      <c r="E33" s="105" t="inlineStr">
        <is>
          <t>Yes</t>
        </is>
      </c>
      <c r="F33" s="105" t="inlineStr">
        <is>
          <t>Must Have</t>
        </is>
      </c>
      <c r="G33" s="94" t="inlineStr">
        <is>
          <t>Covered</t>
        </is>
      </c>
      <c r="H33" s="92" t="n">
        <v>10</v>
      </c>
      <c r="I33" s="92" t="n">
        <v>20</v>
      </c>
      <c r="J33" s="93" t="n"/>
    </row>
    <row r="34" ht="15.75" customHeight="1" s="144">
      <c r="A34" s="14" t="inlineStr">
        <is>
          <t>AI SAFETY &amp; GUARDRAILS</t>
        </is>
      </c>
      <c r="B34" s="86" t="n"/>
      <c r="C34" s="108" t="n"/>
      <c r="D34" s="108" t="n"/>
      <c r="E34" s="89" t="n"/>
      <c r="F34" s="89" t="n"/>
      <c r="G34" s="108" t="n"/>
      <c r="H34" s="108" t="n"/>
      <c r="I34" s="108" t="n"/>
      <c r="J34" s="108" t="n"/>
    </row>
    <row r="35" ht="15.75" customHeight="1" s="144">
      <c r="A35" s="107" t="n"/>
      <c r="B35" s="25" t="inlineStr">
        <is>
          <t>Guardrails</t>
        </is>
      </c>
      <c r="C35" s="25" t="inlineStr">
        <is>
          <t>No diagnosis</t>
        </is>
      </c>
      <c r="D35" s="25" t="inlineStr">
        <is>
          <t>As the system, I never state a diagnosis; I describe findings and refer to the physician.</t>
        </is>
      </c>
      <c r="E35" s="105" t="inlineStr">
        <is>
          <t>Yes</t>
        </is>
      </c>
      <c r="F35" s="105" t="inlineStr">
        <is>
          <t>Must Have</t>
        </is>
      </c>
      <c r="G35" s="94" t="inlineStr">
        <is>
          <t>Covered</t>
        </is>
      </c>
      <c r="H35" s="107" t="n">
        <v>10</v>
      </c>
      <c r="I35" s="107" t="n">
        <v>16</v>
      </c>
      <c r="J35" s="25" t="n"/>
    </row>
    <row r="36" ht="15.75" customHeight="1" s="144">
      <c r="A36" s="107" t="n"/>
      <c r="B36" s="25" t="inlineStr">
        <is>
          <t>Guardrails</t>
        </is>
      </c>
      <c r="C36" s="25" t="inlineStr">
        <is>
          <t>No medication advice</t>
        </is>
      </c>
      <c r="D36" s="25" t="inlineStr">
        <is>
          <t>As the system, I never recommend or adjust medications; I route medication questions to the physician.</t>
        </is>
      </c>
      <c r="E36" s="105" t="inlineStr">
        <is>
          <t>Yes</t>
        </is>
      </c>
      <c r="F36" s="105" t="inlineStr">
        <is>
          <t>Must Have</t>
        </is>
      </c>
      <c r="G36" s="94" t="inlineStr">
        <is>
          <t>Covered</t>
        </is>
      </c>
      <c r="H36" s="107" t="n">
        <v>8</v>
      </c>
      <c r="I36" s="107" t="n">
        <v>12</v>
      </c>
      <c r="J36" s="25" t="n"/>
    </row>
    <row r="37" ht="15.75" customHeight="1" s="144">
      <c r="A37" s="107" t="n"/>
      <c r="B37" s="25" t="inlineStr">
        <is>
          <t>Guardrails</t>
        </is>
      </c>
      <c r="C37" s="25" t="inlineStr">
        <is>
          <t>Route clinical to physician</t>
        </is>
      </c>
      <c r="D37" s="25" t="inlineStr">
        <is>
          <t>As the system, I route clinical and symptom questions to the physician.</t>
        </is>
      </c>
      <c r="E37" s="105" t="inlineStr">
        <is>
          <t>Yes</t>
        </is>
      </c>
      <c r="F37" s="105" t="inlineStr">
        <is>
          <t>Must Have</t>
        </is>
      </c>
      <c r="G37" s="94" t="inlineStr">
        <is>
          <t>Covered</t>
        </is>
      </c>
      <c r="H37" s="107" t="n">
        <v>6</v>
      </c>
      <c r="I37" s="107" t="n">
        <v>10</v>
      </c>
      <c r="J37" s="25" t="n"/>
    </row>
    <row r="38" ht="15.75" customHeight="1" s="144">
      <c r="A38" s="107" t="n"/>
      <c r="B38" s="25" t="inlineStr">
        <is>
          <t>Guardrails</t>
        </is>
      </c>
      <c r="C38" s="25" t="inlineStr">
        <is>
          <t>Emergency red-flag rules</t>
        </is>
      </c>
      <c r="D38" s="25" t="inlineStr">
        <is>
          <t>As the system, deterministic red-flag rules direct the patient to urgent care.</t>
        </is>
      </c>
      <c r="E38" s="105" t="inlineStr">
        <is>
          <t>Yes</t>
        </is>
      </c>
      <c r="F38" s="105" t="inlineStr">
        <is>
          <t>Must Have</t>
        </is>
      </c>
      <c r="G38" s="94" t="inlineStr">
        <is>
          <t>Covered</t>
        </is>
      </c>
      <c r="H38" s="107" t="n">
        <v>8</v>
      </c>
      <c r="I38" s="107" t="n">
        <v>14</v>
      </c>
      <c r="J38" s="25" t="n"/>
    </row>
    <row r="39" ht="15.75" customHeight="1" s="144">
      <c r="A39" s="107" t="n"/>
      <c r="B39" s="25" t="inlineStr">
        <is>
          <t>Guardrails</t>
        </is>
      </c>
      <c r="C39" s="25" t="inlineStr">
        <is>
          <t>Source citation</t>
        </is>
      </c>
      <c r="D39" s="25" t="inlineStr">
        <is>
          <t>As the system, I cite legitimate sources for informational answers.</t>
        </is>
      </c>
      <c r="E39" s="105" t="inlineStr">
        <is>
          <t>Yes</t>
        </is>
      </c>
      <c r="F39" s="105" t="inlineStr">
        <is>
          <t>Must Have</t>
        </is>
      </c>
      <c r="G39" s="94" t="inlineStr">
        <is>
          <t>Covered</t>
        </is>
      </c>
      <c r="H39" s="107" t="n">
        <v>6</v>
      </c>
      <c r="I39" s="107" t="n">
        <v>12</v>
      </c>
      <c r="J39" s="25" t="n"/>
    </row>
    <row r="40" ht="15.75" customHeight="1" s="144">
      <c r="A40" s="107" t="n"/>
      <c r="B40" s="25" t="inlineStr">
        <is>
          <t>Guardrails</t>
        </is>
      </c>
      <c r="C40" s="25" t="inlineStr">
        <is>
          <t>Boundary enforcement</t>
        </is>
      </c>
      <c r="D40" s="25" t="inlineStr">
        <is>
          <t>As the system, I keep responses within wellness/lifestyle scope and resist bypass attempts.</t>
        </is>
      </c>
      <c r="E40" s="105" t="inlineStr">
        <is>
          <t>Yes</t>
        </is>
      </c>
      <c r="F40" s="105" t="inlineStr">
        <is>
          <t>Must Have</t>
        </is>
      </c>
      <c r="G40" s="94" t="inlineStr">
        <is>
          <t>Covered</t>
        </is>
      </c>
      <c r="H40" s="107" t="n">
        <v>8</v>
      </c>
      <c r="I40" s="107" t="n">
        <v>14</v>
      </c>
      <c r="J40" s="25" t="n"/>
    </row>
    <row r="41" ht="15.75" customHeight="1" s="144">
      <c r="A41" s="107" t="n"/>
      <c r="B41" s="25" t="inlineStr">
        <is>
          <t>Guardrails</t>
        </is>
      </c>
      <c r="C41" s="25" t="inlineStr">
        <is>
          <t>Lifestyle guidance allowed</t>
        </is>
      </c>
      <c r="D41" s="25" t="inlineStr">
        <is>
          <t>As the system, I allow lifestyle and wellness recommendations within bounds.</t>
        </is>
      </c>
      <c r="E41" s="105" t="inlineStr">
        <is>
          <t>Yes</t>
        </is>
      </c>
      <c r="F41" s="105" t="inlineStr">
        <is>
          <t>Must Have</t>
        </is>
      </c>
      <c r="G41" s="94" t="inlineStr">
        <is>
          <t>Covered</t>
        </is>
      </c>
      <c r="H41" s="107" t="n">
        <v>4</v>
      </c>
      <c r="I41" s="107" t="n">
        <v>8</v>
      </c>
      <c r="J41" s="25" t="n"/>
    </row>
    <row r="42" ht="15.75" customHeight="1" s="144">
      <c r="A42" s="107" t="n"/>
      <c r="B42" s="25" t="inlineStr">
        <is>
          <t>Guardrails</t>
        </is>
      </c>
      <c r="C42" s="25" t="inlineStr">
        <is>
          <t>Consult-physician framing</t>
        </is>
      </c>
      <c r="D42" s="25" t="inlineStr">
        <is>
          <t>As the system, I append consult-your-physician framing when something is out of the ordinary.</t>
        </is>
      </c>
      <c r="E42" s="105" t="inlineStr">
        <is>
          <t>Yes</t>
        </is>
      </c>
      <c r="F42" s="105" t="inlineStr">
        <is>
          <t>Must Have</t>
        </is>
      </c>
      <c r="G42" s="94" t="inlineStr">
        <is>
          <t>Covered</t>
        </is>
      </c>
      <c r="H42" s="107" t="n">
        <v>4</v>
      </c>
      <c r="I42" s="107" t="n">
        <v>8</v>
      </c>
      <c r="J42" s="25" t="n"/>
    </row>
    <row r="43" ht="15.75" customHeight="1" s="144">
      <c r="A43" s="14" t="inlineStr">
        <is>
          <t>CRM / CARE ORCHESTRATION</t>
        </is>
      </c>
      <c r="B43" s="86" t="n"/>
      <c r="C43" s="108" t="n"/>
      <c r="D43" s="108" t="n"/>
      <c r="E43" s="89" t="n"/>
      <c r="F43" s="89" t="n"/>
      <c r="G43" s="108" t="n"/>
      <c r="H43" s="108" t="n"/>
      <c r="I43" s="108" t="n"/>
      <c r="J43" s="108" t="n"/>
    </row>
    <row r="44" ht="15.75" customHeight="1" s="144">
      <c r="A44" s="107" t="n"/>
      <c r="B44" s="25" t="inlineStr">
        <is>
          <t>Member record</t>
        </is>
      </c>
      <c r="C44" s="25" t="inlineStr">
        <is>
          <t>360 member record</t>
        </is>
      </c>
      <c r="D44" s="25" t="inlineStr">
        <is>
          <t>As the system, I hold the 360 member record and each patient's journey state.</t>
        </is>
      </c>
      <c r="E44" s="105" t="inlineStr">
        <is>
          <t>Yes</t>
        </is>
      </c>
      <c r="F44" s="105" t="inlineStr">
        <is>
          <t>Must Have</t>
        </is>
      </c>
      <c r="G44" s="94" t="inlineStr">
        <is>
          <t>Covered</t>
        </is>
      </c>
      <c r="H44" s="107" t="n">
        <v>12</v>
      </c>
      <c r="I44" s="107" t="n">
        <v>20</v>
      </c>
      <c r="J44" s="25" t="n"/>
    </row>
    <row r="45" ht="15.75" customHeight="1" s="144">
      <c r="A45" s="107" t="n"/>
      <c r="B45" s="25" t="inlineStr">
        <is>
          <t>Care loop</t>
        </is>
      </c>
      <c r="C45" s="25" t="inlineStr">
        <is>
          <t>Assess-plan-act-monitor-refine</t>
        </is>
      </c>
      <c r="D45" s="25" t="inlineStr">
        <is>
          <t>As the system, I run the care loop including the physician sign-off step.</t>
        </is>
      </c>
      <c r="E45" s="105" t="inlineStr">
        <is>
          <t>Yes</t>
        </is>
      </c>
      <c r="F45" s="105" t="inlineStr">
        <is>
          <t>Must Have</t>
        </is>
      </c>
      <c r="G45" s="94" t="inlineStr">
        <is>
          <t>Covered</t>
        </is>
      </c>
      <c r="H45" s="107" t="n">
        <v>12</v>
      </c>
      <c r="I45" s="107" t="n">
        <v>20</v>
      </c>
      <c r="J45" s="25" t="n"/>
    </row>
    <row r="46" ht="15.75" customHeight="1" s="144">
      <c r="A46" s="107" t="n"/>
      <c r="B46" s="25" t="inlineStr">
        <is>
          <t>Routing</t>
        </is>
      </c>
      <c r="C46" s="25" t="inlineStr">
        <is>
          <t>Sign-off routing</t>
        </is>
      </c>
      <c r="D46" s="25" t="inlineStr">
        <is>
          <t>As the system, I route each report to the physician for review and release on sign-off.</t>
        </is>
      </c>
      <c r="E46" s="105" t="inlineStr">
        <is>
          <t>Yes</t>
        </is>
      </c>
      <c r="F46" s="105" t="inlineStr">
        <is>
          <t>Must Have</t>
        </is>
      </c>
      <c r="G46" s="94" t="inlineStr">
        <is>
          <t>Covered</t>
        </is>
      </c>
      <c r="H46" s="107" t="n">
        <v>8</v>
      </c>
      <c r="I46" s="107" t="n">
        <v>14</v>
      </c>
      <c r="J46" s="25" t="n"/>
    </row>
    <row r="47" ht="15.75" customHeight="1" s="144">
      <c r="A47" s="107" t="n"/>
      <c r="B47" s="25" t="inlineStr">
        <is>
          <t>Routing</t>
        </is>
      </c>
      <c r="C47" s="25" t="inlineStr">
        <is>
          <t>Abnormal-finding routing</t>
        </is>
      </c>
      <c r="D47" s="25" t="inlineStr">
        <is>
          <t>As the system, I route flagged findings to patient and physician promptly.</t>
        </is>
      </c>
      <c r="E47" s="105" t="inlineStr">
        <is>
          <t>Yes</t>
        </is>
      </c>
      <c r="F47" s="105" t="inlineStr">
        <is>
          <t>Must Have</t>
        </is>
      </c>
      <c r="G47" s="94" t="inlineStr">
        <is>
          <t>Covered</t>
        </is>
      </c>
      <c r="H47" s="107" t="n">
        <v>8</v>
      </c>
      <c r="I47" s="107" t="n">
        <v>14</v>
      </c>
      <c r="J47" s="25" t="n"/>
    </row>
    <row r="48" ht="15.75" customHeight="1" s="144">
      <c r="A48" s="107" t="n"/>
      <c r="B48" s="25" t="inlineStr">
        <is>
          <t>Engagement</t>
        </is>
      </c>
      <c r="C48" s="25" t="inlineStr">
        <is>
          <t>Automation</t>
        </is>
      </c>
      <c r="D48" s="25" t="inlineStr">
        <is>
          <t>As the system, I run reminders, nudges, milestones and contextual add-on prompts.</t>
        </is>
      </c>
      <c r="E48" s="105" t="inlineStr">
        <is>
          <t>Yes</t>
        </is>
      </c>
      <c r="F48" s="105" t="inlineStr">
        <is>
          <t>Must Have</t>
        </is>
      </c>
      <c r="G48" s="94" t="inlineStr">
        <is>
          <t>Covered</t>
        </is>
      </c>
      <c r="H48" s="107" t="n">
        <v>10</v>
      </c>
      <c r="I48" s="107" t="n">
        <v>14</v>
      </c>
      <c r="J48" s="25" t="n"/>
    </row>
    <row r="49" ht="15.75" customHeight="1" s="144">
      <c r="A49" s="107" t="n"/>
      <c r="B49" s="25" t="inlineStr">
        <is>
          <t>Scoring</t>
        </is>
      </c>
      <c r="C49" s="25" t="inlineStr">
        <is>
          <t>Scoring engine</t>
        </is>
      </c>
      <c r="D49" s="25" t="inlineStr">
        <is>
          <t>As the system, I compute overall and domain scores, rules-based and versioned.</t>
        </is>
      </c>
      <c r="E49" s="105" t="inlineStr">
        <is>
          <t>Yes</t>
        </is>
      </c>
      <c r="F49" s="105" t="inlineStr">
        <is>
          <t>Must Have</t>
        </is>
      </c>
      <c r="G49" s="94" t="inlineStr">
        <is>
          <t>Covered</t>
        </is>
      </c>
      <c r="H49" s="107" t="n">
        <v>12</v>
      </c>
      <c r="I49" s="107" t="n">
        <v>18</v>
      </c>
      <c r="J49" s="25" t="n"/>
    </row>
    <row r="50" ht="15.75" customHeight="1" s="144">
      <c r="A50" s="107" t="n"/>
      <c r="B50" s="25" t="inlineStr">
        <is>
          <t>Forecast</t>
        </is>
      </c>
      <c r="C50" s="25" t="inlineStr">
        <is>
          <t>Forecast engine</t>
        </is>
      </c>
      <c r="D50" s="25" t="inlineStr">
        <is>
          <t>As the system, I produce trend forecasts labeled 'forecast, not diagnosis' with confidence.</t>
        </is>
      </c>
      <c r="E50" s="105" t="inlineStr">
        <is>
          <t>Yes</t>
        </is>
      </c>
      <c r="F50" s="105" t="inlineStr">
        <is>
          <t>Must Have</t>
        </is>
      </c>
      <c r="G50" s="94" t="inlineStr">
        <is>
          <t>Covered</t>
        </is>
      </c>
      <c r="H50" s="107" t="n">
        <v>10</v>
      </c>
      <c r="I50" s="107" t="n">
        <v>16</v>
      </c>
      <c r="J50" s="25" t="n"/>
    </row>
    <row r="51" ht="15.75" customHeight="1" s="144">
      <c r="A51" s="107" t="n"/>
      <c r="B51" s="25" t="inlineStr">
        <is>
          <t>Alerts</t>
        </is>
      </c>
      <c r="C51" s="25" t="inlineStr">
        <is>
          <t>Alert / rules engine</t>
        </is>
      </c>
      <c r="D51" s="25" t="inlineStr">
        <is>
          <t>As the system, at least 10 deterministic safety/priority rules run and are auditable.</t>
        </is>
      </c>
      <c r="E51" s="105" t="inlineStr">
        <is>
          <t>Yes</t>
        </is>
      </c>
      <c r="F51" s="105" t="inlineStr">
        <is>
          <t>Must Have</t>
        </is>
      </c>
      <c r="G51" s="94" t="inlineStr">
        <is>
          <t>Covered</t>
        </is>
      </c>
      <c r="H51" s="107" t="n">
        <v>10</v>
      </c>
      <c r="I51" s="107" t="n">
        <v>18</v>
      </c>
      <c r="J51" s="25" t="n"/>
    </row>
    <row r="52" ht="15.75" customHeight="1" s="144">
      <c r="A52" s="90" t="n"/>
      <c r="B52" s="98" t="inlineStr">
        <is>
          <t>Escalation</t>
        </is>
      </c>
      <c r="C52" s="98" t="inlineStr">
        <is>
          <t>5-level escalation matrix</t>
        </is>
      </c>
      <c r="D52" s="98" t="inlineStr">
        <is>
          <t>As the system, I route each issue to one of five levels (0 informational, 1 protocol-managed, 2 routine review, 3 prompt review, 4 urgent) by decision required, not by topic.</t>
        </is>
      </c>
      <c r="E52" s="105" t="inlineStr">
        <is>
          <t>Yes</t>
        </is>
      </c>
      <c r="F52" s="105" t="inlineStr">
        <is>
          <t>Must Have</t>
        </is>
      </c>
      <c r="G52" s="94" t="inlineStr">
        <is>
          <t>Covered</t>
        </is>
      </c>
      <c r="H52" s="92" t="n">
        <v>16</v>
      </c>
      <c r="I52" s="92" t="n">
        <v>30</v>
      </c>
      <c r="J52" s="93" t="n"/>
    </row>
    <row r="53" ht="15.75" customHeight="1" s="144">
      <c r="A53" s="90" t="n"/>
      <c r="B53" s="98" t="inlineStr">
        <is>
          <t>Escalation</t>
        </is>
      </c>
      <c r="C53" s="98" t="inlineStr">
        <is>
          <t>Episode-based deduplication</t>
        </is>
      </c>
      <c r="D53" s="98" t="inlineStr">
        <is>
          <t>As the system, multiple questions about the same result create one issue, not multiple physician alerts.</t>
        </is>
      </c>
      <c r="E53" s="105" t="inlineStr">
        <is>
          <t>Yes</t>
        </is>
      </c>
      <c r="F53" s="105" t="inlineStr">
        <is>
          <t>Must Have</t>
        </is>
      </c>
      <c r="G53" s="94" t="inlineStr">
        <is>
          <t>Covered</t>
        </is>
      </c>
      <c r="H53" s="92" t="n">
        <v>8</v>
      </c>
      <c r="I53" s="92" t="n">
        <v>16</v>
      </c>
      <c r="J53" s="93" t="n"/>
    </row>
    <row r="54" ht="15.75" customHeight="1" s="144">
      <c r="A54" s="90" t="n"/>
      <c r="B54" s="98" t="inlineStr">
        <is>
          <t>Escalation</t>
        </is>
      </c>
      <c r="C54" s="98" t="inlineStr">
        <is>
          <t>Pending-review awareness</t>
        </is>
      </c>
      <c r="D54" s="98" t="inlineStr">
        <is>
          <t>As the system, the chat knows an issue is already queued and tells the patient no duplicate message is needed.</t>
        </is>
      </c>
      <c r="E54" s="105" t="inlineStr">
        <is>
          <t>Yes</t>
        </is>
      </c>
      <c r="F54" s="105" t="inlineStr">
        <is>
          <t>Must Have</t>
        </is>
      </c>
      <c r="G54" s="94" t="inlineStr">
        <is>
          <t>Covered</t>
        </is>
      </c>
      <c r="H54" s="92" t="n">
        <v>4</v>
      </c>
      <c r="I54" s="92" t="n">
        <v>10</v>
      </c>
      <c r="J54" s="93" t="n"/>
    </row>
    <row r="55" ht="15.75" customHeight="1" s="144">
      <c r="A55" s="90" t="n"/>
      <c r="B55" s="98" t="inlineStr">
        <is>
          <t>Escalation</t>
        </is>
      </c>
      <c r="C55" s="98" t="inlineStr">
        <is>
          <t>Cooldown &amp; suppression</t>
        </is>
      </c>
      <c r="D55" s="98" t="inlineStr">
        <is>
          <t>As the system, resolved/acknowledged/retest-pending items are not re-alerted unless risk changes.</t>
        </is>
      </c>
      <c r="E55" s="105" t="inlineStr">
        <is>
          <t>Yes</t>
        </is>
      </c>
      <c r="F55" s="105" t="inlineStr">
        <is>
          <t>Must Have</t>
        </is>
      </c>
      <c r="G55" s="94" t="inlineStr">
        <is>
          <t>Covered</t>
        </is>
      </c>
      <c r="H55" s="92" t="n">
        <v>4</v>
      </c>
      <c r="I55" s="92" t="n">
        <v>10</v>
      </c>
      <c r="J55" s="93" t="n"/>
    </row>
    <row r="56" ht="15.75" customHeight="1" s="144">
      <c r="A56" s="90" t="n"/>
      <c r="B56" s="98" t="inlineStr">
        <is>
          <t>Escalation</t>
        </is>
      </c>
      <c r="C56" s="98" t="inlineStr">
        <is>
          <t>Batching &amp; closed-loop status</t>
        </is>
      </c>
      <c r="D56" s="98" t="inlineStr">
        <is>
          <t>As the system, routine items batch into a scheduled review list and every routed issue is tracked to acknowledged/decided/communicated/closed.</t>
        </is>
      </c>
      <c r="E56" s="105" t="inlineStr">
        <is>
          <t>Yes</t>
        </is>
      </c>
      <c r="F56" s="105" t="inlineStr">
        <is>
          <t>Must Have</t>
        </is>
      </c>
      <c r="G56" s="94" t="inlineStr">
        <is>
          <t>Covered</t>
        </is>
      </c>
      <c r="H56" s="92" t="n">
        <v>8</v>
      </c>
      <c r="I56" s="92" t="n">
        <v>16</v>
      </c>
      <c r="J56" s="93" t="n"/>
    </row>
    <row r="57" ht="15.75" customHeight="1" s="144">
      <c r="A57" s="90" t="n"/>
      <c r="B57" s="98" t="inlineStr">
        <is>
          <t>Escalation</t>
        </is>
      </c>
      <c r="C57" s="98" t="inlineStr">
        <is>
          <t>Physician summary standard</t>
        </is>
      </c>
      <c r="D57" s="98" t="inlineStr">
        <is>
          <t>As the system, physician review items carry current result, history, related data, meds, patient context, evidence, confidence and the exact decision — never a raw transcript.</t>
        </is>
      </c>
      <c r="E57" s="105" t="inlineStr">
        <is>
          <t>Yes</t>
        </is>
      </c>
      <c r="F57" s="105" t="inlineStr">
        <is>
          <t>Must Have</t>
        </is>
      </c>
      <c r="G57" s="94" t="inlineStr">
        <is>
          <t>Covered</t>
        </is>
      </c>
      <c r="H57" s="92" t="n">
        <v>8</v>
      </c>
      <c r="I57" s="92" t="n">
        <v>14</v>
      </c>
      <c r="J57" s="93" t="n"/>
    </row>
    <row r="58" ht="15.75" customHeight="1" s="144">
      <c r="A58" s="14" t="inlineStr">
        <is>
          <t>DATA &amp; INTEGRATION LAYER</t>
        </is>
      </c>
      <c r="B58" s="86" t="n"/>
      <c r="C58" s="108" t="n"/>
      <c r="D58" s="108" t="n"/>
      <c r="E58" s="89" t="n"/>
      <c r="F58" s="89" t="n"/>
      <c r="G58" s="108" t="n"/>
      <c r="H58" s="108" t="n"/>
      <c r="I58" s="108" t="n"/>
      <c r="J58" s="108" t="n"/>
    </row>
    <row r="59" ht="15.75" customHeight="1" s="144">
      <c r="A59" s="107" t="n"/>
      <c r="B59" s="25" t="inlineStr">
        <is>
          <t>Integration bridge</t>
        </is>
      </c>
      <c r="C59" s="25" t="inlineStr">
        <is>
          <t>Unified EHR API</t>
        </is>
      </c>
      <c r="D59" s="25" t="inlineStr">
        <is>
          <t>As the system, I provide one integration bridge exposing a single unified API for all connected EHRs.</t>
        </is>
      </c>
      <c r="E59" s="105" t="inlineStr">
        <is>
          <t>Yes</t>
        </is>
      </c>
      <c r="F59" s="105" t="inlineStr">
        <is>
          <t>Must Have</t>
        </is>
      </c>
      <c r="G59" s="94" t="inlineStr">
        <is>
          <t>Covered</t>
        </is>
      </c>
      <c r="H59" s="107" t="n">
        <v>16</v>
      </c>
      <c r="I59" s="107" t="n">
        <v>28</v>
      </c>
      <c r="J59" s="25" t="n"/>
    </row>
    <row r="60" ht="15.75" customHeight="1" s="144">
      <c r="A60" s="107" t="n"/>
      <c r="B60" s="25" t="inlineStr">
        <is>
          <t>EHR connector</t>
        </is>
      </c>
      <c r="C60" s="25" t="inlineStr">
        <is>
          <t>Epic (FHIR)</t>
        </is>
      </c>
      <c r="D60" s="25" t="inlineStr">
        <is>
          <t>As the system, I connect to Epic via patient-authorized FHIR APIs.</t>
        </is>
      </c>
      <c r="E60" s="105" t="inlineStr">
        <is>
          <t>Yes</t>
        </is>
      </c>
      <c r="F60" s="105" t="inlineStr">
        <is>
          <t>Must Have</t>
        </is>
      </c>
      <c r="G60" s="94" t="inlineStr">
        <is>
          <t>Covered</t>
        </is>
      </c>
      <c r="H60" s="107" t="n">
        <v>12</v>
      </c>
      <c r="I60" s="107" t="n">
        <v>24</v>
      </c>
      <c r="J60" s="25" t="n"/>
    </row>
    <row r="61" ht="15.75" customHeight="1" s="144">
      <c r="A61" s="107" t="n"/>
      <c r="B61" s="25" t="inlineStr">
        <is>
          <t>EHR connector</t>
        </is>
      </c>
      <c r="C61" s="25" t="inlineStr">
        <is>
          <t>Cerner / Oracle (FHIR)</t>
        </is>
      </c>
      <c r="D61" s="25" t="inlineStr">
        <is>
          <t>As the system, I connect to Cerner (Oracle Health) via patient-authorized FHIR APIs.</t>
        </is>
      </c>
      <c r="E61" s="105" t="inlineStr">
        <is>
          <t>Yes</t>
        </is>
      </c>
      <c r="F61" s="105" t="inlineStr">
        <is>
          <t>Must Have</t>
        </is>
      </c>
      <c r="G61" s="94" t="inlineStr">
        <is>
          <t>Covered</t>
        </is>
      </c>
      <c r="H61" s="107" t="n">
        <v>10</v>
      </c>
      <c r="I61" s="107" t="n">
        <v>20</v>
      </c>
      <c r="J61" s="25" t="n"/>
    </row>
    <row r="62" ht="15.75" customHeight="1" s="144">
      <c r="A62" s="107" t="n"/>
      <c r="B62" s="25" t="inlineStr">
        <is>
          <t>EHR connector</t>
        </is>
      </c>
      <c r="C62" s="25" t="inlineStr">
        <is>
          <t>athenahealth (FHIR)</t>
        </is>
      </c>
      <c r="D62" s="25" t="inlineStr">
        <is>
          <t>As the system, I connect to athenahealth via patient-authorized FHIR APIs.</t>
        </is>
      </c>
      <c r="E62" s="105" t="inlineStr">
        <is>
          <t>Yes</t>
        </is>
      </c>
      <c r="F62" s="105" t="inlineStr">
        <is>
          <t>Must Have</t>
        </is>
      </c>
      <c r="G62" s="94" t="inlineStr">
        <is>
          <t>Covered</t>
        </is>
      </c>
      <c r="H62" s="107" t="n">
        <v>10</v>
      </c>
      <c r="I62" s="107" t="n">
        <v>20</v>
      </c>
      <c r="J62" s="25" t="n"/>
    </row>
    <row r="63" ht="15.75" customHeight="1" s="144">
      <c r="A63" s="107" t="n"/>
      <c r="B63" s="25" t="inlineStr">
        <is>
          <t>EHR connector</t>
        </is>
      </c>
      <c r="C63" s="25" t="inlineStr">
        <is>
          <t>Extensible connectors</t>
        </is>
      </c>
      <c r="D63" s="25" t="inlineStr">
        <is>
          <t>As the system, I add new EHR connectors within the bridge without changing the client-facing API.</t>
        </is>
      </c>
      <c r="E63" s="105" t="inlineStr">
        <is>
          <t>Yes</t>
        </is>
      </c>
      <c r="F63" s="105" t="inlineStr">
        <is>
          <t>Must Have</t>
        </is>
      </c>
      <c r="G63" s="94" t="inlineStr">
        <is>
          <t>Covered</t>
        </is>
      </c>
      <c r="H63" s="107" t="n">
        <v>6</v>
      </c>
      <c r="I63" s="107" t="n">
        <v>14</v>
      </c>
      <c r="J63" s="25" t="n"/>
    </row>
    <row r="64" ht="15.75" customHeight="1" s="144">
      <c r="A64" s="107" t="n"/>
      <c r="B64" s="25" t="inlineStr">
        <is>
          <t>Normalization</t>
        </is>
      </c>
      <c r="C64" s="25" t="inlineStr">
        <is>
          <t>FHIR normalization</t>
        </is>
      </c>
      <c r="D64" s="25" t="inlineStr">
        <is>
          <t>As the system, I normalize each EHR FHIR response into the HOL unified data model.</t>
        </is>
      </c>
      <c r="E64" s="105" t="inlineStr">
        <is>
          <t>Yes</t>
        </is>
      </c>
      <c r="F64" s="105" t="inlineStr">
        <is>
          <t>Must Have</t>
        </is>
      </c>
      <c r="G64" s="94" t="inlineStr">
        <is>
          <t>Covered</t>
        </is>
      </c>
      <c r="H64" s="107" t="n">
        <v>10</v>
      </c>
      <c r="I64" s="107" t="n">
        <v>20</v>
      </c>
      <c r="J64" s="25" t="n"/>
    </row>
    <row r="65" ht="15.75" customHeight="1" s="144">
      <c r="A65" s="107" t="n"/>
      <c r="B65" s="25" t="inlineStr">
        <is>
          <t>Multi-hospital</t>
        </is>
      </c>
      <c r="C65" s="25" t="inlineStr">
        <is>
          <t>Multiple authorizations</t>
        </is>
      </c>
      <c r="D65" s="25" t="inlineStr">
        <is>
          <t>As the system, I support multiple hospital authorizations per patient into one record.</t>
        </is>
      </c>
      <c r="E65" s="105" t="inlineStr">
        <is>
          <t>Yes</t>
        </is>
      </c>
      <c r="F65" s="105" t="inlineStr">
        <is>
          <t>Must Have</t>
        </is>
      </c>
      <c r="G65" s="94" t="inlineStr">
        <is>
          <t>Covered</t>
        </is>
      </c>
      <c r="H65" s="107" t="n">
        <v>8</v>
      </c>
      <c r="I65" s="107" t="n">
        <v>14</v>
      </c>
      <c r="J65" s="25" t="n"/>
    </row>
    <row r="66" ht="15.75" customHeight="1" s="144">
      <c r="A66" s="107" t="n"/>
      <c r="B66" s="25" t="inlineStr">
        <is>
          <t>Multi-hospital</t>
        </is>
      </c>
      <c r="C66" s="25" t="inlineStr">
        <is>
          <t>Same-EHR account linking</t>
        </is>
      </c>
      <c r="D66" s="25" t="inlineStr">
        <is>
          <t>As the system, I support linking multiple accounts on one EHR (e.g. Epic MyChart Central) where available.</t>
        </is>
      </c>
      <c r="E66" s="105" t="inlineStr">
        <is>
          <t>Yes</t>
        </is>
      </c>
      <c r="F66" s="105" t="inlineStr">
        <is>
          <t>Must Have</t>
        </is>
      </c>
      <c r="G66" s="94" t="inlineStr">
        <is>
          <t>Covered</t>
        </is>
      </c>
      <c r="H66" s="107" t="n">
        <v>6</v>
      </c>
      <c r="I66" s="107" t="n">
        <v>12</v>
      </c>
      <c r="J66" s="25" t="n"/>
    </row>
    <row r="67" ht="15.75" customHeight="1" s="144">
      <c r="A67" s="107" t="n"/>
      <c r="B67" s="25" t="inlineStr">
        <is>
          <t>HIE / TEFCA</t>
        </is>
      </c>
      <c r="C67" s="25" t="inlineStr">
        <is>
          <t>Exchange option (evaluate)</t>
        </is>
      </c>
      <c r="D67" s="25" t="inlineStr">
        <is>
          <t>As the system, I can optionally retrieve records via an HIE / TEFCA network for providers not directly integrated.</t>
        </is>
      </c>
      <c r="E67" s="105" t="inlineStr">
        <is>
          <t>Yes</t>
        </is>
      </c>
      <c r="F67" s="105" t="inlineStr">
        <is>
          <t>Must Have</t>
        </is>
      </c>
      <c r="G67" s="94" t="inlineStr">
        <is>
          <t>Covered</t>
        </is>
      </c>
      <c r="H67" s="107" t="n">
        <v>0</v>
      </c>
      <c r="I67" s="107" t="n">
        <v>0</v>
      </c>
      <c r="J67" s="25" t="n"/>
    </row>
    <row r="68" ht="15.75" customHeight="1" s="144">
      <c r="A68" s="107" t="n"/>
      <c r="B68" s="25" t="inlineStr">
        <is>
          <t>Auto-ingestion</t>
        </is>
      </c>
      <c r="C68" s="25" t="inlineStr">
        <is>
          <t>Automatic ingestion</t>
        </is>
      </c>
      <c r="D68" s="25" t="inlineStr">
        <is>
          <t>As the system, I ingest new results into the record automatically with no patient action.</t>
        </is>
      </c>
      <c r="E68" s="105" t="inlineStr">
        <is>
          <t>Yes</t>
        </is>
      </c>
      <c r="F68" s="105" t="inlineStr">
        <is>
          <t>Must Have</t>
        </is>
      </c>
      <c r="G68" s="94" t="inlineStr">
        <is>
          <t>Covered</t>
        </is>
      </c>
      <c r="H68" s="107" t="n">
        <v>6</v>
      </c>
      <c r="I68" s="107" t="n">
        <v>14</v>
      </c>
      <c r="J68" s="25" t="n"/>
    </row>
    <row r="69" ht="15.75" customHeight="1" s="144">
      <c r="A69" s="107" t="n"/>
      <c r="B69" s="25" t="inlineStr">
        <is>
          <t>Auto-ingestion</t>
        </is>
      </c>
      <c r="C69" s="25" t="inlineStr">
        <is>
          <t>Real-time webhook push</t>
        </is>
      </c>
      <c r="D69" s="25" t="inlineStr">
        <is>
          <t>As the system, I subscribe to EHR webhooks and ingest new data in real time where supported.</t>
        </is>
      </c>
      <c r="E69" s="105" t="inlineStr">
        <is>
          <t>Yes</t>
        </is>
      </c>
      <c r="F69" s="105" t="inlineStr">
        <is>
          <t>Must Have</t>
        </is>
      </c>
      <c r="G69" s="94" t="inlineStr">
        <is>
          <t>Covered</t>
        </is>
      </c>
      <c r="H69" s="107" t="n">
        <v>8</v>
      </c>
      <c r="I69" s="107" t="n">
        <v>18</v>
      </c>
      <c r="J69" s="25" t="n"/>
    </row>
    <row r="70" ht="15.75" customHeight="1" s="144">
      <c r="A70" s="107" t="n"/>
      <c r="B70" s="25" t="inlineStr">
        <is>
          <t>Auto-ingestion</t>
        </is>
      </c>
      <c r="C70" s="25" t="inlineStr">
        <is>
          <t>Polling fallback</t>
        </is>
      </c>
      <c r="D70" s="25" t="inlineStr">
        <is>
          <t>As the system, I fall back to scheduled polling for EHRs without webhook support.</t>
        </is>
      </c>
      <c r="E70" s="105" t="inlineStr">
        <is>
          <t>Yes</t>
        </is>
      </c>
      <c r="F70" s="105" t="inlineStr">
        <is>
          <t>Must Have</t>
        </is>
      </c>
      <c r="G70" s="94" t="inlineStr">
        <is>
          <t>Covered</t>
        </is>
      </c>
      <c r="H70" s="107" t="n">
        <v>6</v>
      </c>
      <c r="I70" s="107" t="n">
        <v>12</v>
      </c>
      <c r="J70" s="25" t="n"/>
    </row>
    <row r="71" ht="15.75" customHeight="1" s="144">
      <c r="A71" s="107" t="n"/>
      <c r="B71" s="25" t="inlineStr">
        <is>
          <t>Auto-ingestion</t>
        </is>
      </c>
      <c r="C71" s="25" t="inlineStr">
        <is>
          <t>Update + trigger</t>
        </is>
      </c>
      <c r="D71" s="25" t="inlineStr">
        <is>
          <t>As the system, on new data I update the record and trigger scoring and alerts.</t>
        </is>
      </c>
      <c r="E71" s="105" t="inlineStr">
        <is>
          <t>Yes</t>
        </is>
      </c>
      <c r="F71" s="105" t="inlineStr">
        <is>
          <t>Must Have</t>
        </is>
      </c>
      <c r="G71" s="94" t="inlineStr">
        <is>
          <t>Covered</t>
        </is>
      </c>
      <c r="H71" s="107" t="n">
        <v>6</v>
      </c>
      <c r="I71" s="107" t="n">
        <v>12</v>
      </c>
      <c r="J71" s="25" t="n"/>
    </row>
    <row r="72" ht="15.75" customHeight="1" s="144">
      <c r="A72" s="107" t="n"/>
      <c r="B72" s="25" t="inlineStr">
        <is>
          <t>Terra</t>
        </is>
      </c>
      <c r="C72" s="25" t="inlineStr">
        <is>
          <t>Terra auth &amp; sync</t>
        </is>
      </c>
      <c r="D72" s="25" t="inlineStr">
        <is>
          <t>As the system, I connect and sync wearables via Terra (Apple/Android).</t>
        </is>
      </c>
      <c r="E72" s="105" t="inlineStr">
        <is>
          <t>Yes</t>
        </is>
      </c>
      <c r="F72" s="105" t="inlineStr">
        <is>
          <t>Must Have</t>
        </is>
      </c>
      <c r="G72" s="94" t="inlineStr">
        <is>
          <t>Covered</t>
        </is>
      </c>
      <c r="H72" s="107" t="n">
        <v>12</v>
      </c>
      <c r="I72" s="107" t="n">
        <v>20</v>
      </c>
      <c r="J72" s="25" t="n"/>
    </row>
    <row r="73" ht="15.75" customHeight="1" s="144">
      <c r="A73" s="107" t="n"/>
      <c r="B73" s="25" t="inlineStr">
        <is>
          <t>Uploads</t>
        </is>
      </c>
      <c r="C73" s="25" t="inlineStr">
        <is>
          <t>Upload parsing</t>
        </is>
      </c>
      <c r="D73" s="25" t="inlineStr">
        <is>
          <t>As the system, I parse uploaded PDFs into structured biomarkers with a review queue.</t>
        </is>
      </c>
      <c r="E73" s="105" t="inlineStr">
        <is>
          <t>Yes</t>
        </is>
      </c>
      <c r="F73" s="105" t="inlineStr">
        <is>
          <t>Must Have</t>
        </is>
      </c>
      <c r="G73" s="94" t="inlineStr">
        <is>
          <t>Covered</t>
        </is>
      </c>
      <c r="H73" s="107" t="n">
        <v>8</v>
      </c>
      <c r="I73" s="107" t="n">
        <v>16</v>
      </c>
      <c r="J73" s="25" t="n"/>
    </row>
    <row r="74" ht="15.75" customHeight="1" s="144">
      <c r="A74" s="107" t="n"/>
      <c r="B74" s="25" t="inlineStr">
        <is>
          <t>Partners</t>
        </is>
      </c>
      <c r="C74" s="25" t="inlineStr">
        <is>
          <t>Partner connections</t>
        </is>
      </c>
      <c r="D74" s="25" t="inlineStr">
        <is>
          <t>As the system, I connect to DEXA, payments, notification and identity partners.</t>
        </is>
      </c>
      <c r="E74" s="105" t="inlineStr">
        <is>
          <t>Yes</t>
        </is>
      </c>
      <c r="F74" s="105" t="inlineStr">
        <is>
          <t>Must Have</t>
        </is>
      </c>
      <c r="G74" s="94" t="inlineStr">
        <is>
          <t>Covered</t>
        </is>
      </c>
      <c r="H74" s="107" t="n">
        <v>8</v>
      </c>
      <c r="I74" s="107" t="n">
        <v>16</v>
      </c>
      <c r="J74" s="25" t="n"/>
    </row>
    <row r="75" ht="15.75" customHeight="1" s="144">
      <c r="A75" s="14" t="inlineStr">
        <is>
          <t>IDENTITY, ACCESS &amp; MULTI-TENANCY</t>
        </is>
      </c>
      <c r="B75" s="86" t="n"/>
      <c r="C75" s="108" t="n"/>
      <c r="D75" s="108" t="n"/>
      <c r="E75" s="89" t="n"/>
      <c r="F75" s="89" t="n"/>
      <c r="G75" s="108" t="n"/>
      <c r="H75" s="108" t="n"/>
      <c r="I75" s="108" t="n"/>
      <c r="J75" s="108" t="n"/>
    </row>
    <row r="76" ht="15.75" customHeight="1" s="144">
      <c r="A76" s="107" t="n"/>
      <c r="B76" s="25" t="inlineStr">
        <is>
          <t>Identity</t>
        </is>
      </c>
      <c r="C76" s="25" t="inlineStr">
        <is>
          <t>Authentication</t>
        </is>
      </c>
      <c r="D76" s="25" t="inlineStr">
        <is>
          <t>As the system, I authenticate all six roles; MFA for clinicians.</t>
        </is>
      </c>
      <c r="E76" s="105" t="inlineStr">
        <is>
          <t>Yes</t>
        </is>
      </c>
      <c r="F76" s="105" t="inlineStr">
        <is>
          <t>Must Have</t>
        </is>
      </c>
      <c r="G76" s="94" t="inlineStr">
        <is>
          <t>Covered</t>
        </is>
      </c>
      <c r="H76" s="107" t="n">
        <v>12</v>
      </c>
      <c r="I76" s="107" t="n">
        <v>16</v>
      </c>
      <c r="J76" s="25" t="n"/>
    </row>
    <row r="77" ht="15.75" customHeight="1" s="144">
      <c r="A77" s="107" t="n"/>
      <c r="B77" s="25" t="inlineStr">
        <is>
          <t>Access</t>
        </is>
      </c>
      <c r="C77" s="25" t="inlineStr">
        <is>
          <t>RBAC</t>
        </is>
      </c>
      <c r="D77" s="25" t="inlineStr">
        <is>
          <t>As the system, I enforce role-based access across all surfaces.</t>
        </is>
      </c>
      <c r="E77" s="105" t="inlineStr">
        <is>
          <t>Yes</t>
        </is>
      </c>
      <c r="F77" s="105" t="inlineStr">
        <is>
          <t>Must Have</t>
        </is>
      </c>
      <c r="G77" s="94" t="inlineStr">
        <is>
          <t>Covered</t>
        </is>
      </c>
      <c r="H77" s="107" t="n">
        <v>8</v>
      </c>
      <c r="I77" s="107" t="n">
        <v>16</v>
      </c>
      <c r="J77" s="25" t="n"/>
    </row>
    <row r="78" ht="15.75" customHeight="1" s="144">
      <c r="A78" s="107" t="n"/>
      <c r="B78" s="25" t="inlineStr">
        <is>
          <t>Tenancy</t>
        </is>
      </c>
      <c r="C78" s="25" t="inlineStr">
        <is>
          <t>Tenant isolation</t>
        </is>
      </c>
      <c r="D78" s="25" t="inlineStr">
        <is>
          <t>As the system, I isolate each practice's data as its own tenant.</t>
        </is>
      </c>
      <c r="E78" s="105" t="inlineStr">
        <is>
          <t>Yes</t>
        </is>
      </c>
      <c r="F78" s="105" t="inlineStr">
        <is>
          <t>Must Have</t>
        </is>
      </c>
      <c r="G78" s="94" t="inlineStr">
        <is>
          <t>Covered</t>
        </is>
      </c>
      <c r="H78" s="107" t="n">
        <v>12</v>
      </c>
      <c r="I78" s="107" t="n">
        <v>20</v>
      </c>
      <c r="J78" s="25" t="n"/>
    </row>
    <row r="79" ht="15.75" customHeight="1" s="144">
      <c r="A79" s="107" t="n"/>
      <c r="B79" s="25" t="n"/>
      <c r="C79" s="25" t="inlineStr">
        <is>
          <t>White-label config</t>
        </is>
      </c>
      <c r="D79" s="25" t="inlineStr">
        <is>
          <t>As the system, I support per-practice white-label branding.</t>
        </is>
      </c>
      <c r="E79" s="105" t="inlineStr">
        <is>
          <t>Yes</t>
        </is>
      </c>
      <c r="F79" s="105" t="inlineStr">
        <is>
          <t>Must Have</t>
        </is>
      </c>
      <c r="G79" s="94" t="inlineStr">
        <is>
          <t>Covered</t>
        </is>
      </c>
      <c r="H79" s="107" t="n">
        <v>8</v>
      </c>
      <c r="I79" s="107" t="n">
        <v>12</v>
      </c>
      <c r="J79" s="25" t="n"/>
    </row>
    <row r="80" ht="15.75" customHeight="1" s="144">
      <c r="A80" s="14" t="inlineStr">
        <is>
          <t>NOTIFICATIONS (DELIVERY ENGINE)</t>
        </is>
      </c>
      <c r="B80" s="86" t="n"/>
      <c r="C80" s="108" t="n"/>
      <c r="D80" s="108" t="n"/>
      <c r="E80" s="89" t="n"/>
      <c r="F80" s="89" t="n"/>
      <c r="G80" s="108" t="n"/>
      <c r="H80" s="108" t="n"/>
      <c r="I80" s="108" t="n"/>
      <c r="J80" s="108" t="n"/>
    </row>
    <row r="81" ht="15.75" customHeight="1" s="144">
      <c r="A81" s="107" t="n"/>
      <c r="B81" s="25" t="inlineStr">
        <is>
          <t>Notifications</t>
        </is>
      </c>
      <c r="C81" s="25" t="inlineStr">
        <is>
          <t>Multi-channel delivery</t>
        </is>
      </c>
      <c r="D81" s="25" t="inlineStr">
        <is>
          <t>As the system, I deliver push, email and SMS alerts across all portals (no PHI in email/SMS).</t>
        </is>
      </c>
      <c r="E81" s="105" t="inlineStr">
        <is>
          <t>Yes</t>
        </is>
      </c>
      <c r="F81" s="105" t="inlineStr">
        <is>
          <t>Must Have</t>
        </is>
      </c>
      <c r="G81" s="94" t="inlineStr">
        <is>
          <t>Covered</t>
        </is>
      </c>
      <c r="H81" s="107" t="n">
        <v>6</v>
      </c>
      <c r="I81" s="107" t="n">
        <v>12</v>
      </c>
      <c r="J81" s="25" t="n"/>
    </row>
    <row r="82" ht="15.75" customHeight="1" s="144">
      <c r="A82" s="14" t="inlineStr">
        <is>
          <t>PLATFORM FOUNDATIONS — SECURITY, COMPLIANCE &amp; RESILIENCE</t>
        </is>
      </c>
      <c r="B82" s="86" t="n"/>
      <c r="C82" s="108" t="n"/>
      <c r="D82" s="108" t="n"/>
      <c r="E82" s="89" t="n"/>
      <c r="F82" s="89" t="n"/>
      <c r="G82" s="108" t="n"/>
      <c r="H82" s="108" t="n"/>
      <c r="I82" s="108" t="n"/>
      <c r="J82" s="108" t="n"/>
    </row>
    <row r="83" ht="15.75" customHeight="1" s="144">
      <c r="A83" s="107" t="n"/>
      <c r="B83" s="25" t="inlineStr">
        <is>
          <t>Security</t>
        </is>
      </c>
      <c r="C83" s="25" t="inlineStr">
        <is>
          <t>Encryption &amp; secrets</t>
        </is>
      </c>
      <c r="D83" s="25" t="inlineStr">
        <is>
          <t>As the system, all PHI is encrypted at rest (AES-256) and in transit (TLS 1.2+).</t>
        </is>
      </c>
      <c r="E83" s="105" t="inlineStr">
        <is>
          <t>Yes</t>
        </is>
      </c>
      <c r="F83" s="105" t="inlineStr">
        <is>
          <t>Must Have</t>
        </is>
      </c>
      <c r="G83" s="94" t="inlineStr">
        <is>
          <t>Covered</t>
        </is>
      </c>
      <c r="H83" s="107" t="n">
        <v>8</v>
      </c>
      <c r="I83" s="107" t="n">
        <v>16</v>
      </c>
      <c r="J83" s="25" t="n"/>
    </row>
    <row r="84" ht="15.75" customHeight="1" s="144">
      <c r="A84" s="107" t="n"/>
      <c r="B84" s="25" t="inlineStr">
        <is>
          <t>Audit</t>
        </is>
      </c>
      <c r="C84" s="25" t="inlineStr">
        <is>
          <t>Immutable audit trail</t>
        </is>
      </c>
      <c r="D84" s="25" t="inlineStr">
        <is>
          <t>As the system, every view/edit/AI output/approval/export is logged immutably.</t>
        </is>
      </c>
      <c r="E84" s="105" t="inlineStr">
        <is>
          <t>Yes</t>
        </is>
      </c>
      <c r="F84" s="105" t="inlineStr">
        <is>
          <t>Must Have</t>
        </is>
      </c>
      <c r="G84" s="94" t="inlineStr">
        <is>
          <t>Covered</t>
        </is>
      </c>
      <c r="H84" s="107" t="n">
        <v>8</v>
      </c>
      <c r="I84" s="107" t="n">
        <v>16</v>
      </c>
      <c r="J84" s="25" t="n"/>
    </row>
    <row r="85" ht="15.75" customHeight="1" s="144">
      <c r="A85" s="107" t="n"/>
      <c r="B85" s="25" t="inlineStr">
        <is>
          <t>Resilience</t>
        </is>
      </c>
      <c r="C85" s="25" t="inlineStr">
        <is>
          <t>Backups &amp; DR</t>
        </is>
      </c>
      <c r="D85" s="25" t="inlineStr">
        <is>
          <t>As the system, I run encrypted backups with a tested disaster-recovery plan.</t>
        </is>
      </c>
      <c r="E85" s="105" t="inlineStr">
        <is>
          <t>Yes</t>
        </is>
      </c>
      <c r="F85" s="105" t="inlineStr">
        <is>
          <t>Must Have</t>
        </is>
      </c>
      <c r="G85" s="94" t="inlineStr">
        <is>
          <t>Covered</t>
        </is>
      </c>
      <c r="H85" s="107" t="n">
        <v>6</v>
      </c>
      <c r="I85" s="107" t="n">
        <v>14</v>
      </c>
      <c r="J85" s="25" t="n"/>
    </row>
    <row r="86" ht="15.75" customHeight="1" s="144">
      <c r="A86" s="107" t="n"/>
      <c r="B86" s="25" t="inlineStr">
        <is>
          <t>Compliance</t>
        </is>
      </c>
      <c r="C86" s="25" t="inlineStr">
        <is>
          <t>SOC 2 posture</t>
        </is>
      </c>
      <c r="D86" s="25" t="inlineStr">
        <is>
          <t>As a system admin, I maintain a SOC 2 Type II-ready posture.</t>
        </is>
      </c>
      <c r="E86" s="105" t="inlineStr">
        <is>
          <t>Yes</t>
        </is>
      </c>
      <c r="F86" s="105" t="inlineStr">
        <is>
          <t>Must Have</t>
        </is>
      </c>
      <c r="G86" s="94" t="inlineStr">
        <is>
          <t>Covered</t>
        </is>
      </c>
      <c r="H86" s="107" t="n">
        <v>8</v>
      </c>
      <c r="I86" s="107" t="n">
        <v>16</v>
      </c>
      <c r="J86" s="25" t="n"/>
    </row>
    <row r="87" ht="15.75" customHeight="1" s="144">
      <c r="A87" s="14" t="inlineStr">
        <is>
          <t>BILLING ENGINE</t>
        </is>
      </c>
      <c r="B87" s="86" t="n"/>
      <c r="C87" s="108" t="n"/>
      <c r="D87" s="108" t="n"/>
      <c r="E87" s="89" t="n"/>
      <c r="F87" s="89" t="n"/>
      <c r="G87" s="108" t="n"/>
      <c r="H87" s="108" t="n"/>
      <c r="I87" s="108" t="n"/>
      <c r="J87" s="108" t="n"/>
    </row>
    <row r="88" ht="15.75" customHeight="1" s="144">
      <c r="A88" s="107" t="n"/>
      <c r="B88" s="25" t="inlineStr">
        <is>
          <t>Billing engine</t>
        </is>
      </c>
      <c r="C88" s="25" t="inlineStr">
        <is>
          <t>Payment processing</t>
        </is>
      </c>
      <c r="D88" s="25" t="inlineStr">
        <is>
          <t>As the system, I process payments securely via the payment provider (PCI-compliant).</t>
        </is>
      </c>
      <c r="E88" s="105" t="inlineStr">
        <is>
          <t>Yes</t>
        </is>
      </c>
      <c r="F88" s="105" t="inlineStr">
        <is>
          <t>Must Have</t>
        </is>
      </c>
      <c r="G88" s="94" t="inlineStr">
        <is>
          <t>Covered</t>
        </is>
      </c>
      <c r="H88" s="107" t="n">
        <v>10</v>
      </c>
      <c r="I88" s="107" t="n">
        <v>20</v>
      </c>
      <c r="J88" s="25" t="n"/>
    </row>
    <row r="89" ht="15.75" customHeight="1" s="144">
      <c r="A89" s="107" t="n"/>
      <c r="B89" s="25" t="inlineStr">
        <is>
          <t>Billing engine</t>
        </is>
      </c>
      <c r="C89" s="25" t="inlineStr">
        <is>
          <t>Subscription lifecycle</t>
        </is>
      </c>
      <c r="D89" s="25" t="inlineStr">
        <is>
          <t>As the system, I manage subscription lifecycle (renewals, proration, dunning).</t>
        </is>
      </c>
      <c r="E89" s="105" t="inlineStr">
        <is>
          <t>Yes</t>
        </is>
      </c>
      <c r="F89" s="105" t="inlineStr">
        <is>
          <t>Must Have</t>
        </is>
      </c>
      <c r="G89" s="94" t="inlineStr">
        <is>
          <t>Covered</t>
        </is>
      </c>
      <c r="H89" s="107" t="n">
        <v>10</v>
      </c>
      <c r="I89" s="107" t="n">
        <v>18</v>
      </c>
      <c r="J89" s="25" t="n"/>
    </row>
    <row r="90" ht="15.75" customHeight="1" s="144">
      <c r="A90" s="107" t="n"/>
      <c r="B90" s="25" t="inlineStr">
        <is>
          <t>Billing engine</t>
        </is>
      </c>
      <c r="C90" s="25" t="inlineStr">
        <is>
          <t>Usage metering</t>
        </is>
      </c>
      <c r="D90" s="25" t="inlineStr">
        <is>
          <t>As the system, I meter AI and service usage for billing.</t>
        </is>
      </c>
      <c r="E90" s="105" t="inlineStr">
        <is>
          <t>Yes</t>
        </is>
      </c>
      <c r="F90" s="105" t="inlineStr">
        <is>
          <t>Must Have</t>
        </is>
      </c>
      <c r="G90" s="94" t="inlineStr">
        <is>
          <t>Covered</t>
        </is>
      </c>
      <c r="H90" s="107" t="n">
        <v>6</v>
      </c>
      <c r="I90" s="107" t="n">
        <v>12</v>
      </c>
      <c r="J90" s="25" t="n"/>
    </row>
    <row r="91" ht="15.75" customHeight="1" s="144">
      <c r="A91" s="107" t="n"/>
      <c r="B91" s="25" t="inlineStr">
        <is>
          <t>Billing engine</t>
        </is>
      </c>
      <c r="C91" s="25" t="inlineStr">
        <is>
          <t>Revenue-share settlement engine</t>
        </is>
      </c>
      <c r="D91" s="25" t="inlineStr">
        <is>
          <t>As the system, I compute practice/HOL revenue split and physician fees.</t>
        </is>
      </c>
      <c r="E91" s="105" t="inlineStr">
        <is>
          <t>Yes</t>
        </is>
      </c>
      <c r="F91" s="105" t="inlineStr">
        <is>
          <t>Must Have</t>
        </is>
      </c>
      <c r="G91" s="94" t="inlineStr">
        <is>
          <t>Covered</t>
        </is>
      </c>
      <c r="H91" s="107" t="n">
        <v>8</v>
      </c>
      <c r="I91" s="107" t="n">
        <v>16</v>
      </c>
      <c r="J91" s="25" t="n"/>
    </row>
    <row r="92" ht="15.75" customHeight="1" s="144">
      <c r="A92" s="107" t="n"/>
      <c r="B92" s="25" t="inlineStr">
        <is>
          <t>Billing engine</t>
        </is>
      </c>
      <c r="C92" s="25" t="inlineStr">
        <is>
          <t>Ledger &amp; audit</t>
        </is>
      </c>
      <c r="D92" s="25" t="inlineStr">
        <is>
          <t>As the system, I keep an auditable billing ledger of all transactions.</t>
        </is>
      </c>
      <c r="E92" s="105" t="inlineStr">
        <is>
          <t>Yes</t>
        </is>
      </c>
      <c r="F92" s="105" t="inlineStr">
        <is>
          <t>Must Have</t>
        </is>
      </c>
      <c r="G92" s="94" t="inlineStr">
        <is>
          <t>Covered</t>
        </is>
      </c>
      <c r="H92" s="107" t="n">
        <v>6</v>
      </c>
      <c r="I92" s="107" t="n">
        <v>14</v>
      </c>
      <c r="J92" s="25" t="n"/>
    </row>
    <row r="93" ht="15.75" customHeight="1" s="144">
      <c r="A93" s="109" t="inlineStr">
        <is>
          <t>CLINICAL POLICY ENGINE</t>
        </is>
      </c>
      <c r="B93" s="110" t="n"/>
      <c r="C93" s="110" t="n"/>
      <c r="D93" s="110" t="n"/>
      <c r="E93" s="110" t="n"/>
      <c r="F93" s="110" t="n"/>
      <c r="G93" s="110" t="n"/>
      <c r="H93" s="110" t="n"/>
      <c r="I93" s="110" t="n"/>
      <c r="J93" s="111" t="n"/>
    </row>
    <row r="94" ht="15.75" customHeight="1" s="144">
      <c r="A94" s="107" t="n"/>
      <c r="B94" s="25" t="inlineStr">
        <is>
          <t>Clinical Policy Engine</t>
        </is>
      </c>
      <c r="C94" s="25" t="inlineStr">
        <is>
          <t>Policy engine outside the LLM</t>
        </is>
      </c>
      <c r="D94" s="25" t="inlineStr">
        <is>
          <t>As the system, I enforce allowed actions, thresholds, special-population rules and routing in a policy engine the LLM cannot override.</t>
        </is>
      </c>
      <c r="E94" s="105" t="inlineStr">
        <is>
          <t>Yes</t>
        </is>
      </c>
      <c r="F94" s="105" t="inlineStr">
        <is>
          <t>Must Have</t>
        </is>
      </c>
      <c r="G94" s="94" t="inlineStr">
        <is>
          <t>Covered</t>
        </is>
      </c>
      <c r="H94" s="107" t="n">
        <v>24</v>
      </c>
      <c r="I94" s="107" t="n">
        <v>44</v>
      </c>
      <c r="J94" s="25" t="n"/>
    </row>
    <row r="95" ht="15.75" customHeight="1" s="144">
      <c r="A95" s="107" t="n"/>
      <c r="B95" s="25" t="inlineStr">
        <is>
          <t>Clinical Policy Engine</t>
        </is>
      </c>
      <c r="C95" s="25" t="inlineStr">
        <is>
          <t>Action-category control</t>
        </is>
      </c>
      <c r="D95" s="25" t="inlineStr">
        <is>
          <t>As the system, the LLM cannot change the action category (education / protocol / clinical decision / urgent) — only the policy engine decides.</t>
        </is>
      </c>
      <c r="E95" s="105" t="inlineStr">
        <is>
          <t>Yes</t>
        </is>
      </c>
      <c r="F95" s="105" t="inlineStr">
        <is>
          <t>Must Have</t>
        </is>
      </c>
      <c r="G95" s="94" t="inlineStr">
        <is>
          <t>Covered</t>
        </is>
      </c>
      <c r="H95" s="107" t="n">
        <v>10</v>
      </c>
      <c r="I95" s="107" t="n">
        <v>20</v>
      </c>
      <c r="J95" s="25" t="n"/>
    </row>
    <row r="96" ht="15.75" customHeight="1" s="144">
      <c r="A96" s="107" t="n"/>
      <c r="B96" s="25" t="inlineStr">
        <is>
          <t>Clinical Policy Engine</t>
        </is>
      </c>
      <c r="C96" s="25" t="inlineStr">
        <is>
          <t>Safety validator</t>
        </is>
      </c>
      <c r="D96" s="25" t="inlineStr">
        <is>
          <t>As the system, I validate every AI answer for claims, medication boundaries, urgency, contradictions and prohibited content, and block/repair/escalate before delivery.</t>
        </is>
      </c>
      <c r="E96" s="105" t="inlineStr">
        <is>
          <t>Yes</t>
        </is>
      </c>
      <c r="F96" s="105" t="inlineStr">
        <is>
          <t>Must Have</t>
        </is>
      </c>
      <c r="G96" s="94" t="inlineStr">
        <is>
          <t>Covered</t>
        </is>
      </c>
      <c r="H96" s="107" t="n">
        <v>14</v>
      </c>
      <c r="I96" s="107" t="n">
        <v>26</v>
      </c>
      <c r="J96" s="25" t="n"/>
    </row>
    <row r="97" ht="15.75" customHeight="1" s="144">
      <c r="A97" s="107" t="n"/>
      <c r="B97" s="25" t="inlineStr">
        <is>
          <t>Clinical Policy Engine</t>
        </is>
      </c>
      <c r="C97" s="25" t="inlineStr">
        <is>
          <t>Architectural hard stops</t>
        </is>
      </c>
      <c r="D97" s="25" t="inlineStr">
        <is>
          <t>As the system, the LLM cannot write to the verified record, send physician alerts, change urgency, order tests, change meds or trigger purchases without policy-engine authorization.</t>
        </is>
      </c>
      <c r="E97" s="105" t="inlineStr">
        <is>
          <t>Yes</t>
        </is>
      </c>
      <c r="F97" s="105" t="inlineStr">
        <is>
          <t>Must Have</t>
        </is>
      </c>
      <c r="G97" s="94" t="inlineStr">
        <is>
          <t>Covered</t>
        </is>
      </c>
      <c r="H97" s="107" t="n">
        <v>8</v>
      </c>
      <c r="I97" s="107" t="n">
        <v>18</v>
      </c>
      <c r="J97" s="25" t="n"/>
    </row>
    <row r="98" ht="15.75" customHeight="1" s="144">
      <c r="A98" s="109" t="inlineStr">
        <is>
          <t>COMMERCIAL FIREWALL</t>
        </is>
      </c>
      <c r="B98" s="110" t="n"/>
      <c r="C98" s="110" t="n"/>
      <c r="D98" s="110" t="n"/>
      <c r="E98" s="110" t="n"/>
      <c r="F98" s="110" t="n"/>
      <c r="G98" s="110" t="n"/>
      <c r="H98" s="110" t="n"/>
      <c r="I98" s="110" t="n"/>
      <c r="J98" s="111" t="n"/>
    </row>
    <row r="99" ht="15.75" customHeight="1" s="144">
      <c r="A99" s="107" t="n"/>
      <c r="B99" s="25" t="inlineStr">
        <is>
          <t>Commercial firewall</t>
        </is>
      </c>
      <c r="C99" s="25" t="inlineStr">
        <is>
          <t>Clinical/commercial separation</t>
        </is>
      </c>
      <c r="D99" s="25" t="inlineStr">
        <is>
          <t>As the system, the clinical recommendation engine is technically and organizationally separated from marketplace ranking and advertising.</t>
        </is>
      </c>
      <c r="E99" s="105" t="inlineStr">
        <is>
          <t>Yes</t>
        </is>
      </c>
      <c r="F99" s="105" t="inlineStr">
        <is>
          <t>Must Have</t>
        </is>
      </c>
      <c r="G99" s="94" t="inlineStr">
        <is>
          <t>Covered</t>
        </is>
      </c>
      <c r="H99" s="107" t="n">
        <v>12</v>
      </c>
      <c r="I99" s="107" t="n">
        <v>24</v>
      </c>
      <c r="J99" s="25" t="n"/>
    </row>
    <row r="100" ht="15.75" customHeight="1" s="144">
      <c r="A100" s="107" t="n"/>
      <c r="B100" s="25" t="inlineStr">
        <is>
          <t>Commercial firewall</t>
        </is>
      </c>
      <c r="C100" s="25" t="inlineStr">
        <is>
          <t>No revenue-driven recommendations</t>
        </is>
      </c>
      <c r="D100" s="25" t="inlineStr">
        <is>
          <t>As the system, margin, commission, inventory, partner status or sponsorship never influence clinical ranking.</t>
        </is>
      </c>
      <c r="E100" s="105" t="inlineStr">
        <is>
          <t>Yes</t>
        </is>
      </c>
      <c r="F100" s="105" t="inlineStr">
        <is>
          <t>Must Have</t>
        </is>
      </c>
      <c r="G100" s="94" t="inlineStr">
        <is>
          <t>Covered</t>
        </is>
      </c>
      <c r="H100" s="107" t="n">
        <v>6</v>
      </c>
      <c r="I100" s="107" t="n">
        <v>12</v>
      </c>
      <c r="J100" s="25" t="n"/>
    </row>
    <row r="101" ht="15.75" customHeight="1" s="144">
      <c r="A101" s="107" t="n"/>
      <c r="B101" s="25" t="inlineStr">
        <is>
          <t>Commercial firewall</t>
        </is>
      </c>
      <c r="C101" s="25" t="inlineStr">
        <is>
          <t>Conflict disclosure + audit</t>
        </is>
      </c>
      <c r="D101" s="25" t="inlineStr">
        <is>
          <t>As the system, when HOL sells an item it recommends, patient and physician see a conflict disclosure, and each recommendation is audited against evidence vs. purchase.</t>
        </is>
      </c>
      <c r="E101" s="105" t="inlineStr">
        <is>
          <t>Yes</t>
        </is>
      </c>
      <c r="F101" s="105" t="inlineStr">
        <is>
          <t>Must Have</t>
        </is>
      </c>
      <c r="G101" s="94" t="inlineStr">
        <is>
          <t>Covered</t>
        </is>
      </c>
      <c r="H101" s="107" t="n">
        <v>8</v>
      </c>
      <c r="I101" s="107" t="n">
        <v>14</v>
      </c>
      <c r="J101" s="25" t="n"/>
    </row>
    <row r="102" ht="15.75" customHeight="1" s="144">
      <c r="A102" s="103" t="n"/>
      <c r="B102" s="112" t="n"/>
      <c r="C102" s="108" t="n"/>
      <c r="D102" s="108" t="n"/>
      <c r="E102" s="89" t="n"/>
      <c r="F102" s="89" t="n"/>
      <c r="G102" s="108" t="n"/>
      <c r="H102" s="108" t="n"/>
      <c r="I102" s="108" t="n"/>
      <c r="J102" s="108" t="n"/>
    </row>
    <row r="103" ht="27.75" customHeight="1" s="144">
      <c r="A103" s="107" t="n"/>
      <c r="B103" s="25" t="n"/>
      <c r="C103" s="25" t="n"/>
      <c r="D103" s="25" t="n"/>
      <c r="E103" s="105" t="inlineStr">
        <is>
          <t>Yes</t>
        </is>
      </c>
      <c r="F103" s="139" t="n"/>
      <c r="G103" s="107" t="n"/>
      <c r="H103" s="107">
        <f>SUMIFS(H3:H101,E3:E101,E103)</f>
        <v/>
      </c>
      <c r="I103" s="107">
        <f>SUMIFS(I3:I101,E3:E101,E103)</f>
        <v/>
      </c>
      <c r="J103" s="25" t="n"/>
    </row>
    <row r="104" ht="27.75" customHeight="1" s="144">
      <c r="A104" s="107" t="n"/>
      <c r="B104" s="25" t="n"/>
      <c r="C104" s="25" t="n"/>
      <c r="D104" s="25" t="n"/>
      <c r="E104" s="139" t="n"/>
      <c r="F104" s="105" t="inlineStr">
        <is>
          <t>Must Have</t>
        </is>
      </c>
      <c r="G104" s="107" t="n"/>
      <c r="H104" s="107">
        <f>SUMIFS(H3:H101,F3:F101,F104)</f>
        <v/>
      </c>
      <c r="I104" s="107">
        <f>SUMIFS(I3:I101,F3:F101,F104)</f>
        <v/>
      </c>
      <c r="J104" s="25" t="n"/>
    </row>
    <row r="105" ht="27.75" customHeight="1" s="144">
      <c r="A105" s="107" t="n"/>
      <c r="B105" s="25" t="n"/>
      <c r="C105" s="25" t="n"/>
      <c r="D105" s="25" t="n"/>
      <c r="E105" s="139" t="n"/>
      <c r="F105" s="105" t="inlineStr">
        <is>
          <t>Could Have</t>
        </is>
      </c>
      <c r="G105" s="107" t="n"/>
      <c r="H105" s="107">
        <f>SUMIFS(H4:H102,F4:F102,F105)</f>
        <v/>
      </c>
      <c r="I105" s="107">
        <f>SUMIFS(I4:I102,F4:F102,F105)</f>
        <v/>
      </c>
      <c r="J105" s="25" t="n"/>
    </row>
    <row r="106" ht="27.75" customHeight="1" s="144">
      <c r="A106" s="107" t="n"/>
      <c r="B106" s="25" t="n"/>
      <c r="C106" s="25" t="n"/>
      <c r="D106" s="25" t="n"/>
      <c r="E106" s="139" t="n"/>
      <c r="F106" s="105" t="inlineStr">
        <is>
          <t>Nice To have</t>
        </is>
      </c>
      <c r="G106" s="107" t="n"/>
      <c r="H106" s="107">
        <f>SUMIFS(H5:H103,F5:F103,F106)</f>
        <v/>
      </c>
      <c r="I106" s="107">
        <f>SUMIFS(I5:I103,F5:F103,F106)</f>
        <v/>
      </c>
      <c r="J106" s="25" t="n"/>
    </row>
    <row r="107" ht="15.75" customHeight="1" s="144">
      <c r="A107" s="153" t="n"/>
      <c r="B107" s="147" t="n"/>
      <c r="C107" s="108" t="n"/>
      <c r="D107" s="108" t="n"/>
      <c r="E107" s="89" t="n"/>
      <c r="F107" s="89" t="n"/>
      <c r="G107" s="108" t="n"/>
      <c r="H107" s="108" t="n"/>
      <c r="I107" s="108" t="n"/>
      <c r="J107" s="108" t="n"/>
    </row>
    <row r="108" ht="15.75" customHeight="1" s="144"/>
    <row r="109" ht="15.75" customHeight="1" s="144"/>
  </sheetData>
  <mergeCells count="1">
    <mergeCell ref="A107:B107"/>
  </mergeCells>
  <dataValidations count="3">
    <dataValidation sqref="E4:E15 E17:E33 E35:E42 E44:E57 E59:E74 E76:E79 E81 E83:E86 E88:E92 E94:E97 E99:E101 E103" showDropDown="0" showInputMessage="0" showErrorMessage="1" allowBlank="1" type="list">
      <formula1>"Yes,No"</formula1>
    </dataValidation>
    <dataValidation sqref="F4:F15 F17:F33 F35:F42 F44:F57 F59:F74 F76:F79 F81 F83:F86 F88:F92 F94:F97 F99:F101 F104:F106" showDropDown="0" showInputMessage="0" showErrorMessage="1" allowBlank="1" type="list">
      <formula1>"Must Have,Could Have,Nice To have"</formula1>
    </dataValidation>
    <dataValidation sqref="G4:G15 G17:G33 G35:G42 G44:G57 G59:G74 G76:G79 G81 G83:G86 G88:G92 G94:G97 G99:G101" showDropDown="0" showInputMessage="0" showErrorMessage="1" allowBlank="1" type="list">
      <formula1>"Retained,Removed,Modified,New,TBD,Covered,Status,Feature list"</formula1>
    </dataValidation>
  </dataValidation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J27"/>
  <sheetViews>
    <sheetView showGridLines="0"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width="5" customWidth="1" style="144" min="1" max="1"/>
    <col width="22" customWidth="1" style="144" min="2" max="2"/>
    <col width="27" customWidth="1" style="144" min="3" max="3"/>
    <col width="66" customWidth="1" style="144" min="4" max="4"/>
    <col width="13.57" customWidth="1" style="144" min="5" max="5"/>
    <col width="17.86" customWidth="1" style="144" min="6" max="6"/>
    <col width="18.71" customWidth="1" style="144" min="7" max="7"/>
    <col width="11.14" customWidth="1" style="144" min="8" max="8"/>
    <col width="11.86" customWidth="1" style="144" min="9" max="9"/>
    <col width="38.14" customWidth="1" style="144" min="10" max="10"/>
  </cols>
  <sheetData>
    <row r="1" ht="18" customHeight="1" s="144">
      <c r="A1" s="85" t="n"/>
      <c r="B1" s="85" t="n"/>
      <c r="C1" s="85" t="n"/>
      <c r="D1" s="85" t="n"/>
      <c r="E1" s="85" t="n"/>
      <c r="F1" s="85" t="n"/>
      <c r="G1" s="85" t="n"/>
      <c r="H1" s="85">
        <f>sum(H4:H21)</f>
        <v/>
      </c>
      <c r="I1" s="85">
        <f>sum(I4:I21)</f>
        <v/>
      </c>
      <c r="J1" s="85" t="n"/>
    </row>
    <row r="2" ht="18" customHeight="1" s="144">
      <c r="A2" s="9" t="inlineStr">
        <is>
          <t>Sr</t>
        </is>
      </c>
      <c r="B2" s="9" t="inlineStr">
        <is>
          <t>Module</t>
        </is>
      </c>
      <c r="C2" s="9" t="inlineStr">
        <is>
          <t>Capability</t>
        </is>
      </c>
      <c r="D2" s="9" t="inlineStr">
        <is>
          <t>User Story</t>
        </is>
      </c>
      <c r="E2" s="9" t="inlineStr">
        <is>
          <t>Required</t>
        </is>
      </c>
      <c r="F2" s="9" t="inlineStr">
        <is>
          <t>Priority</t>
        </is>
      </c>
      <c r="G2" s="9" t="inlineStr">
        <is>
          <t>STATUS</t>
        </is>
      </c>
      <c r="H2" s="9" t="inlineStr">
        <is>
          <t>Frontend</t>
        </is>
      </c>
      <c r="I2" s="9" t="inlineStr">
        <is>
          <t>Backend</t>
        </is>
      </c>
      <c r="J2" s="9" t="inlineStr">
        <is>
          <t>Comments</t>
        </is>
      </c>
    </row>
    <row r="3" ht="15.75" customHeight="1" s="144">
      <c r="A3" s="153" t="inlineStr">
        <is>
          <t>ACCESS</t>
        </is>
      </c>
      <c r="B3" s="147" t="n"/>
      <c r="C3" s="108" t="n"/>
      <c r="D3" s="108" t="n"/>
      <c r="E3" s="89" t="n"/>
      <c r="F3" s="89" t="n"/>
      <c r="G3" s="108" t="n"/>
      <c r="H3" s="108" t="n"/>
      <c r="I3" s="108" t="n"/>
      <c r="J3" s="108" t="n"/>
    </row>
    <row r="4" ht="27.75" customHeight="1" s="144">
      <c r="A4" s="107" t="n"/>
      <c r="B4" s="25" t="inlineStr">
        <is>
          <t>Auth</t>
        </is>
      </c>
      <c r="C4" s="25" t="inlineStr">
        <is>
          <t>Login &amp; MFA</t>
        </is>
      </c>
      <c r="D4" s="25" t="inlineStr">
        <is>
          <t>As a coach, I can log in securely with MFA.</t>
        </is>
      </c>
      <c r="E4" s="105" t="inlineStr">
        <is>
          <t>Yes</t>
        </is>
      </c>
      <c r="F4" s="105" t="inlineStr">
        <is>
          <t>Nice To have</t>
        </is>
      </c>
      <c r="G4" s="94" t="inlineStr">
        <is>
          <t>Removed</t>
        </is>
      </c>
      <c r="H4" s="107" t="n">
        <v>4</v>
      </c>
      <c r="I4" s="107" t="n">
        <v>4</v>
      </c>
      <c r="J4" s="25" t="n"/>
    </row>
    <row r="5" ht="27.75" customHeight="1" s="144">
      <c r="A5" s="107" t="n"/>
      <c r="B5" s="25" t="inlineStr">
        <is>
          <t>Auth</t>
        </is>
      </c>
      <c r="C5" s="25" t="inlineStr">
        <is>
          <t>Scoped access (RBAC)</t>
        </is>
      </c>
      <c r="D5" s="25" t="inlineStr">
        <is>
          <t>As a coach, I can only see wellness data for my assigned patients — no clinical record, alerts, or sign-off.</t>
        </is>
      </c>
      <c r="E5" s="105" t="inlineStr">
        <is>
          <t>Yes</t>
        </is>
      </c>
      <c r="F5" s="105" t="inlineStr">
        <is>
          <t>Nice To have</t>
        </is>
      </c>
      <c r="G5" s="94" t="inlineStr">
        <is>
          <t>Removed</t>
        </is>
      </c>
      <c r="H5" s="107" t="n">
        <v>4</v>
      </c>
      <c r="I5" s="107" t="n">
        <v>6</v>
      </c>
      <c r="J5" s="25" t="n"/>
    </row>
    <row r="6" ht="15.75" customHeight="1" s="144">
      <c r="A6" s="153" t="inlineStr">
        <is>
          <t>PATIENT CONTEXT</t>
        </is>
      </c>
      <c r="B6" s="147" t="n"/>
      <c r="C6" s="108" t="n"/>
      <c r="D6" s="108" t="n"/>
      <c r="E6" s="89" t="n"/>
      <c r="F6" s="89" t="n"/>
      <c r="G6" s="108" t="n"/>
      <c r="H6" s="108" t="n"/>
      <c r="I6" s="108" t="n"/>
      <c r="J6" s="108" t="n"/>
    </row>
    <row r="7" ht="27.75" customHeight="1" s="144">
      <c r="A7" s="107" t="n"/>
      <c r="B7" s="25" t="inlineStr">
        <is>
          <t>Context</t>
        </is>
      </c>
      <c r="C7" s="25" t="inlineStr">
        <is>
          <t>Assigned patient list</t>
        </is>
      </c>
      <c r="D7" s="25" t="inlineStr">
        <is>
          <t>As a coach, I can see the list of patients assigned to me.</t>
        </is>
      </c>
      <c r="E7" s="105" t="inlineStr">
        <is>
          <t>Yes</t>
        </is>
      </c>
      <c r="F7" s="105" t="inlineStr">
        <is>
          <t>Nice To have</t>
        </is>
      </c>
      <c r="G7" s="94" t="inlineStr">
        <is>
          <t>Removed</t>
        </is>
      </c>
      <c r="H7" s="107" t="n">
        <v>4</v>
      </c>
      <c r="I7" s="107" t="n">
        <v>4</v>
      </c>
      <c r="J7" s="25" t="n"/>
    </row>
    <row r="8" ht="27.75" customHeight="1" s="144">
      <c r="A8" s="107" t="n"/>
      <c r="B8" s="25" t="inlineStr">
        <is>
          <t>Context</t>
        </is>
      </c>
      <c r="C8" s="25" t="inlineStr">
        <is>
          <t>Physician-approved goals</t>
        </is>
      </c>
      <c r="D8" s="25" t="inlineStr">
        <is>
          <t>As a coach, I can view the patient's physician-approved goals.</t>
        </is>
      </c>
      <c r="E8" s="105" t="inlineStr">
        <is>
          <t>Yes</t>
        </is>
      </c>
      <c r="F8" s="105" t="inlineStr">
        <is>
          <t>Nice To have</t>
        </is>
      </c>
      <c r="G8" s="94" t="inlineStr">
        <is>
          <t>Removed</t>
        </is>
      </c>
      <c r="H8" s="107" t="n">
        <v>4</v>
      </c>
      <c r="I8" s="107" t="n">
        <v>4</v>
      </c>
      <c r="J8" s="25" t="n"/>
    </row>
    <row r="9" ht="27.75" customHeight="1" s="144">
      <c r="A9" s="107" t="n"/>
      <c r="B9" s="25" t="inlineStr">
        <is>
          <t>Context</t>
        </is>
      </c>
      <c r="C9" s="25" t="inlineStr">
        <is>
          <t>Lifestyle plan</t>
        </is>
      </c>
      <c r="D9" s="25" t="inlineStr">
        <is>
          <t>As a coach, I can view the patient's approved lifestyle plan.</t>
        </is>
      </c>
      <c r="E9" s="105" t="inlineStr">
        <is>
          <t>Yes</t>
        </is>
      </c>
      <c r="F9" s="105" t="inlineStr">
        <is>
          <t>Nice To have</t>
        </is>
      </c>
      <c r="G9" s="94" t="inlineStr">
        <is>
          <t>Removed</t>
        </is>
      </c>
      <c r="H9" s="107" t="n">
        <v>4</v>
      </c>
      <c r="I9" s="107" t="n">
        <v>4</v>
      </c>
      <c r="J9" s="25" t="n"/>
    </row>
    <row r="10" ht="27.75" customHeight="1" s="144">
      <c r="A10" s="107" t="n"/>
      <c r="B10" s="25" t="inlineStr">
        <is>
          <t>Context</t>
        </is>
      </c>
      <c r="C10" s="25" t="inlineStr">
        <is>
          <t>Adherence view</t>
        </is>
      </c>
      <c r="D10" s="25" t="inlineStr">
        <is>
          <t>As a coach, I can view the patient's adherence and check-ins.</t>
        </is>
      </c>
      <c r="E10" s="105" t="inlineStr">
        <is>
          <t>Yes</t>
        </is>
      </c>
      <c r="F10" s="105" t="inlineStr">
        <is>
          <t>Nice To have</t>
        </is>
      </c>
      <c r="G10" s="94" t="inlineStr">
        <is>
          <t>Removed</t>
        </is>
      </c>
      <c r="H10" s="107" t="n">
        <v>4</v>
      </c>
      <c r="I10" s="107" t="n">
        <v>4</v>
      </c>
      <c r="J10" s="25" t="n"/>
    </row>
    <row r="11" ht="15.75" customHeight="1" s="144">
      <c r="A11" s="153" t="inlineStr">
        <is>
          <t>SCHEDULING</t>
        </is>
      </c>
      <c r="B11" s="147" t="n"/>
      <c r="C11" s="108" t="n"/>
      <c r="D11" s="108" t="n"/>
      <c r="E11" s="89" t="n"/>
      <c r="F11" s="89" t="n"/>
      <c r="G11" s="108" t="n"/>
      <c r="H11" s="108" t="n"/>
      <c r="I11" s="108" t="n"/>
      <c r="J11" s="108" t="n"/>
    </row>
    <row r="12" ht="27.75" customHeight="1" s="144">
      <c r="A12" s="107" t="n"/>
      <c r="B12" s="25" t="inlineStr">
        <is>
          <t>Scheduling</t>
        </is>
      </c>
      <c r="C12" s="25" t="inlineStr">
        <is>
          <t>View &amp; manage sessions</t>
        </is>
      </c>
      <c r="D12" s="25" t="inlineStr">
        <is>
          <t>As a coach, I can view and manage my coaching sessions.</t>
        </is>
      </c>
      <c r="E12" s="105" t="inlineStr">
        <is>
          <t>Yes</t>
        </is>
      </c>
      <c r="F12" s="105" t="inlineStr">
        <is>
          <t>Nice To have</t>
        </is>
      </c>
      <c r="G12" s="94" t="inlineStr">
        <is>
          <t>Removed</t>
        </is>
      </c>
      <c r="H12" s="107" t="n">
        <v>8</v>
      </c>
      <c r="I12" s="107" t="n">
        <v>8</v>
      </c>
      <c r="J12" s="25" t="n"/>
    </row>
    <row r="13" ht="27.75" customHeight="1" s="144">
      <c r="A13" s="107" t="n"/>
      <c r="B13" s="25" t="inlineStr">
        <is>
          <t>Scheduling</t>
        </is>
      </c>
      <c r="C13" s="25" t="inlineStr">
        <is>
          <t>Availability</t>
        </is>
      </c>
      <c r="D13" s="25" t="inlineStr">
        <is>
          <t>As a coach, I can set my availability.</t>
        </is>
      </c>
      <c r="E13" s="105" t="inlineStr">
        <is>
          <t>Yes</t>
        </is>
      </c>
      <c r="F13" s="105" t="inlineStr">
        <is>
          <t>Nice To have</t>
        </is>
      </c>
      <c r="G13" s="94" t="inlineStr">
        <is>
          <t>Removed</t>
        </is>
      </c>
      <c r="H13" s="107" t="n">
        <v>8</v>
      </c>
      <c r="I13" s="107" t="n">
        <v>8</v>
      </c>
      <c r="J13" s="25" t="n"/>
    </row>
    <row r="14" ht="15.75" customHeight="1" s="144">
      <c r="A14" s="153" t="inlineStr">
        <is>
          <t>MESSAGING</t>
        </is>
      </c>
      <c r="B14" s="147" t="n"/>
      <c r="C14" s="108" t="n"/>
      <c r="D14" s="108" t="n"/>
      <c r="E14" s="89" t="n"/>
      <c r="F14" s="89" t="n"/>
      <c r="G14" s="108" t="n"/>
      <c r="H14" s="108" t="n"/>
      <c r="I14" s="108" t="n"/>
      <c r="J14" s="108" t="n"/>
    </row>
    <row r="15" ht="27.75" customHeight="1" s="144">
      <c r="A15" s="107" t="n"/>
      <c r="B15" s="25" t="inlineStr">
        <is>
          <t>Messaging</t>
        </is>
      </c>
      <c r="C15" s="25" t="inlineStr">
        <is>
          <t>Secure patient messaging</t>
        </is>
      </c>
      <c r="D15" s="25" t="inlineStr">
        <is>
          <t>As a coach, I can securely message my assigned patients.</t>
        </is>
      </c>
      <c r="E15" s="105" t="inlineStr">
        <is>
          <t>Yes</t>
        </is>
      </c>
      <c r="F15" s="105" t="inlineStr">
        <is>
          <t>Nice To have</t>
        </is>
      </c>
      <c r="G15" s="94" t="inlineStr">
        <is>
          <t>Removed</t>
        </is>
      </c>
      <c r="H15" s="107" t="n">
        <v>8</v>
      </c>
      <c r="I15" s="107" t="n">
        <v>8</v>
      </c>
      <c r="J15" s="25" t="n"/>
    </row>
    <row r="16" ht="27.75" customHeight="1" s="144">
      <c r="A16" s="107" t="n"/>
      <c r="B16" s="25" t="inlineStr">
        <is>
          <t>Messaging</t>
        </is>
      </c>
      <c r="C16" s="25" t="inlineStr">
        <is>
          <t>Wellness boundary</t>
        </is>
      </c>
      <c r="D16" s="25" t="inlineStr">
        <is>
          <t>As a coach, messaging stays within the wellness boundary — no clinical advice.</t>
        </is>
      </c>
      <c r="E16" s="105" t="inlineStr">
        <is>
          <t>Yes</t>
        </is>
      </c>
      <c r="F16" s="105" t="inlineStr">
        <is>
          <t>Nice To have</t>
        </is>
      </c>
      <c r="G16" s="94" t="inlineStr">
        <is>
          <t>Removed</t>
        </is>
      </c>
      <c r="H16" s="107" t="n">
        <v>8</v>
      </c>
      <c r="I16" s="107" t="n">
        <v>8</v>
      </c>
      <c r="J16" s="25" t="n"/>
    </row>
    <row r="17" ht="15.75" customHeight="1" s="144">
      <c r="A17" s="153" t="inlineStr">
        <is>
          <t>SESSION NOTES</t>
        </is>
      </c>
      <c r="B17" s="147" t="n"/>
      <c r="C17" s="108" t="n"/>
      <c r="D17" s="108" t="n"/>
      <c r="E17" s="89" t="n"/>
      <c r="F17" s="89" t="n"/>
      <c r="G17" s="108" t="n"/>
      <c r="H17" s="108" t="n"/>
      <c r="I17" s="108" t="n"/>
      <c r="J17" s="108" t="n"/>
    </row>
    <row r="18" ht="27.75" customHeight="1" s="144">
      <c r="A18" s="107" t="n"/>
      <c r="B18" s="25" t="inlineStr">
        <is>
          <t>Notes</t>
        </is>
      </c>
      <c r="C18" s="25" t="inlineStr">
        <is>
          <t>Add session notes</t>
        </is>
      </c>
      <c r="D18" s="25" t="inlineStr">
        <is>
          <t>As a coach, I can record coaching session notes.</t>
        </is>
      </c>
      <c r="E18" s="105" t="inlineStr">
        <is>
          <t>Yes</t>
        </is>
      </c>
      <c r="F18" s="105" t="inlineStr">
        <is>
          <t>Nice To have</t>
        </is>
      </c>
      <c r="G18" s="94" t="inlineStr">
        <is>
          <t>Removed</t>
        </is>
      </c>
      <c r="H18" s="107" t="n">
        <v>6</v>
      </c>
      <c r="I18" s="107" t="n">
        <v>6</v>
      </c>
      <c r="J18" s="25" t="n"/>
    </row>
    <row r="19" ht="27.75" customHeight="1" s="144">
      <c r="A19" s="107" t="n"/>
      <c r="B19" s="25" t="inlineStr">
        <is>
          <t>Notes</t>
        </is>
      </c>
      <c r="C19" s="25" t="inlineStr">
        <is>
          <t>View note history</t>
        </is>
      </c>
      <c r="D19" s="25" t="inlineStr">
        <is>
          <t>As a coach, I can view my past notes for a patient.</t>
        </is>
      </c>
      <c r="E19" s="105" t="inlineStr">
        <is>
          <t>Yes</t>
        </is>
      </c>
      <c r="F19" s="105" t="inlineStr">
        <is>
          <t>Nice To have</t>
        </is>
      </c>
      <c r="G19" s="94" t="inlineStr">
        <is>
          <t>Removed</t>
        </is>
      </c>
      <c r="H19" s="107" t="n">
        <v>6</v>
      </c>
      <c r="I19" s="107" t="n">
        <v>6</v>
      </c>
      <c r="J19" s="25" t="n"/>
    </row>
    <row r="20" ht="15.75" customHeight="1" s="144">
      <c r="A20" s="153" t="inlineStr">
        <is>
          <t>NOTIFICATIONS</t>
        </is>
      </c>
      <c r="B20" s="147" t="n"/>
      <c r="C20" s="108" t="n"/>
      <c r="D20" s="108" t="n"/>
      <c r="E20" s="89" t="n"/>
      <c r="F20" s="89" t="n"/>
      <c r="G20" s="108" t="n"/>
      <c r="H20" s="108" t="n"/>
      <c r="I20" s="108" t="n"/>
      <c r="J20" s="108" t="n"/>
    </row>
    <row r="21" ht="27.75" customHeight="1" s="144">
      <c r="A21" s="107" t="n"/>
      <c r="B21" s="25" t="inlineStr">
        <is>
          <t>Notifications</t>
        </is>
      </c>
      <c r="C21" s="25" t="inlineStr">
        <is>
          <t>Session &amp; message alerts</t>
        </is>
      </c>
      <c r="D21" s="25" t="inlineStr">
        <is>
          <t>As a coach, I receive alerts for upcoming sessions and new patient messages (no PHI).</t>
        </is>
      </c>
      <c r="E21" s="105" t="inlineStr">
        <is>
          <t>Yes</t>
        </is>
      </c>
      <c r="F21" s="105" t="inlineStr">
        <is>
          <t>Nice To have</t>
        </is>
      </c>
      <c r="G21" s="94" t="inlineStr">
        <is>
          <t>Removed</t>
        </is>
      </c>
      <c r="H21" s="107" t="n">
        <v>4</v>
      </c>
      <c r="I21" s="107" t="n">
        <v>4</v>
      </c>
      <c r="J21" s="25" t="n"/>
    </row>
    <row r="22" ht="15.75" customHeight="1" s="144">
      <c r="A22" s="153" t="n"/>
      <c r="B22" s="147" t="n"/>
      <c r="C22" s="108" t="n"/>
      <c r="D22" s="108" t="n"/>
      <c r="E22" s="89" t="n"/>
      <c r="F22" s="89" t="n"/>
      <c r="G22" s="108" t="n"/>
      <c r="H22" s="108" t="n"/>
      <c r="I22" s="108" t="n"/>
      <c r="J22" s="108" t="n"/>
    </row>
    <row r="23" ht="27.75" customHeight="1" s="144">
      <c r="A23" s="107" t="n"/>
      <c r="B23" s="25" t="n"/>
      <c r="C23" s="25" t="n"/>
      <c r="D23" s="25" t="n"/>
      <c r="E23" s="105" t="inlineStr">
        <is>
          <t>Yes</t>
        </is>
      </c>
      <c r="F23" s="139" t="n"/>
      <c r="G23" s="107" t="n"/>
      <c r="H23" s="107">
        <f>SUMIFS(H3:H21,E3:E21,E23)</f>
        <v/>
      </c>
      <c r="I23" s="107">
        <f>SUMIFS(I3:I21,E3:E21,E23)</f>
        <v/>
      </c>
      <c r="J23" s="25" t="n"/>
    </row>
    <row r="24" ht="27.75" customHeight="1" s="144">
      <c r="A24" s="107" t="n"/>
      <c r="B24" s="25" t="n"/>
      <c r="C24" s="25" t="n"/>
      <c r="D24" s="25" t="n"/>
      <c r="E24" s="139" t="n"/>
      <c r="F24" s="105" t="inlineStr">
        <is>
          <t>Must Have</t>
        </is>
      </c>
      <c r="G24" s="107" t="n"/>
      <c r="H24" s="107">
        <f>SUMIFS(H3:H21,F3:F21,F24)</f>
        <v/>
      </c>
      <c r="I24" s="107">
        <f>SUMIFS(I3:I21,F3:F21,F24)</f>
        <v/>
      </c>
      <c r="J24" s="25" t="n"/>
    </row>
    <row r="25" ht="27.75" customHeight="1" s="144">
      <c r="A25" s="107" t="n"/>
      <c r="B25" s="25" t="n"/>
      <c r="C25" s="25" t="n"/>
      <c r="D25" s="25" t="n"/>
      <c r="E25" s="139" t="n"/>
      <c r="F25" s="105" t="inlineStr">
        <is>
          <t>Could Have</t>
        </is>
      </c>
      <c r="G25" s="107" t="n"/>
      <c r="H25" s="107">
        <f>SUMIFS(H4:H22,F4:F22,F25)</f>
        <v/>
      </c>
      <c r="I25" s="107">
        <f>SUMIFS(I4:I22,F4:F22,F25)</f>
        <v/>
      </c>
      <c r="J25" s="25" t="n"/>
    </row>
    <row r="26" ht="27.75" customHeight="1" s="144">
      <c r="A26" s="107" t="n"/>
      <c r="B26" s="25" t="n"/>
      <c r="C26" s="25" t="n"/>
      <c r="D26" s="25" t="n"/>
      <c r="E26" s="139" t="n"/>
      <c r="F26" s="105" t="inlineStr">
        <is>
          <t>Nice To have</t>
        </is>
      </c>
      <c r="G26" s="107" t="n"/>
      <c r="H26" s="107">
        <f>SUMIFS(H3:H23,F3:F23,F26)</f>
        <v/>
      </c>
      <c r="I26" s="107">
        <f>SUMIFS(I3:I23,F3:F23,F26)</f>
        <v/>
      </c>
      <c r="J26" s="25" t="n"/>
    </row>
    <row r="27" ht="15.75" customHeight="1" s="144">
      <c r="A27" s="153" t="n"/>
      <c r="B27" s="147" t="n"/>
      <c r="C27" s="108" t="n"/>
      <c r="D27" s="108" t="n"/>
      <c r="E27" s="89" t="n"/>
      <c r="F27" s="89" t="n"/>
      <c r="G27" s="108" t="n"/>
      <c r="H27" s="108" t="n"/>
      <c r="I27" s="108" t="n"/>
      <c r="J27" s="108" t="n"/>
    </row>
    <row r="28" ht="15.75" customHeight="1" s="144"/>
    <row r="29" ht="15.75" customHeight="1" s="144"/>
  </sheetData>
  <mergeCells count="8">
    <mergeCell ref="A20:B20"/>
    <mergeCell ref="A11:B11"/>
    <mergeCell ref="A14:B14"/>
    <mergeCell ref="A17:B17"/>
    <mergeCell ref="A27:B27"/>
    <mergeCell ref="A3:B3"/>
    <mergeCell ref="A6:B6"/>
    <mergeCell ref="A22:B22"/>
  </mergeCells>
  <dataValidations count="3">
    <dataValidation sqref="E4:E5 E7:E10 E12:E13 E15:E16 E18:E19 E21 E23" showDropDown="0" showInputMessage="0" showErrorMessage="1" allowBlank="1" type="list">
      <formula1>"Yes,No"</formula1>
    </dataValidation>
    <dataValidation sqref="F4:F5 F7:F10 F12:F13 F15:F16 F18:F19 F21 F24:F26" showDropDown="0" showInputMessage="0" showErrorMessage="1" allowBlank="1" type="list">
      <formula1>"Must Have,Could Have,Nice To have"</formula1>
    </dataValidation>
    <dataValidation sqref="G4:G5 G7:G10 G12:G13 G15:G16 G18:G19 G21" showDropDown="0" showInputMessage="0" showErrorMessage="1" allowBlank="1" type="list">
      <formula1>"Retained,Removed,Modified,New,TBD,Covered,Status,Duplicate"</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H18"/>
  <sheetViews>
    <sheetView showGridLines="0" workbookViewId="0">
      <pane ySplit="2" topLeftCell="A3" activePane="bottomLeft" state="frozen"/>
      <selection pane="bottomLeft" activeCell="B4" sqref="B4"/>
    </sheetView>
  </sheetViews>
  <sheetFormatPr baseColWidth="8" defaultColWidth="14.43" defaultRowHeight="15" customHeight="1"/>
  <cols>
    <col width="6" customWidth="1" style="144" min="1" max="1"/>
    <col width="15.86" customWidth="1" style="144" min="2" max="2"/>
    <col width="30.57" customWidth="1" style="144" min="3" max="3"/>
    <col width="13.14" customWidth="1" style="144" min="4" max="4"/>
    <col width="16" customWidth="1" style="144" min="5" max="5"/>
    <col width="22" customWidth="1" style="144" min="6" max="6"/>
    <col width="23" customWidth="1" style="144" min="7" max="7"/>
    <col width="43" customWidth="1" style="144" min="8" max="8"/>
  </cols>
  <sheetData>
    <row r="1" ht="15" customHeight="1" s="144">
      <c r="A1" s="113" t="n"/>
      <c r="B1" s="114" t="n"/>
      <c r="C1" s="114" t="n"/>
      <c r="D1" s="114" t="n"/>
      <c r="E1" s="114" t="n"/>
      <c r="F1" s="114">
        <f>SUM(F3:F9)</f>
        <v/>
      </c>
      <c r="G1" s="114" t="n"/>
      <c r="H1" s="115" t="n"/>
    </row>
    <row r="2" ht="19.5" customHeight="1" s="144">
      <c r="A2" s="117" t="inlineStr">
        <is>
          <t>Sr</t>
        </is>
      </c>
      <c r="B2" s="117" t="inlineStr">
        <is>
          <t>Integration</t>
        </is>
      </c>
      <c r="C2" s="117" t="inlineStr">
        <is>
          <t>Preferred Vendors</t>
        </is>
      </c>
      <c r="D2" s="117" t="inlineStr">
        <is>
          <t>Required</t>
        </is>
      </c>
      <c r="E2" s="117" t="inlineStr">
        <is>
          <t>Priority</t>
        </is>
      </c>
      <c r="F2" s="117" t="inlineStr">
        <is>
          <t>BE</t>
        </is>
      </c>
      <c r="G2" s="117" t="inlineStr">
        <is>
          <t>FE</t>
        </is>
      </c>
      <c r="H2" s="117" t="inlineStr">
        <is>
          <t>Comments</t>
        </is>
      </c>
    </row>
    <row r="3" ht="27.75" customHeight="1" s="144">
      <c r="A3" s="126" t="n"/>
      <c r="B3" s="125" t="inlineStr">
        <is>
          <t>SMS</t>
        </is>
      </c>
      <c r="C3" s="125" t="inlineStr">
        <is>
          <t>Twilio</t>
        </is>
      </c>
      <c r="D3" s="105" t="inlineStr">
        <is>
          <t>Yes</t>
        </is>
      </c>
      <c r="E3" s="105" t="inlineStr">
        <is>
          <t>Must Have</t>
        </is>
      </c>
      <c r="F3" s="105" t="n">
        <v>32</v>
      </c>
      <c r="G3" s="125" t="n"/>
      <c r="H3" s="125" t="n"/>
    </row>
    <row r="4" ht="27.75" customHeight="1" s="144">
      <c r="A4" s="126" t="n"/>
      <c r="B4" s="125" t="inlineStr">
        <is>
          <t>Email</t>
        </is>
      </c>
      <c r="C4" s="125" t="inlineStr">
        <is>
          <t>Sendgrid</t>
        </is>
      </c>
      <c r="D4" s="105" t="inlineStr">
        <is>
          <t>Yes</t>
        </is>
      </c>
      <c r="E4" s="105" t="inlineStr">
        <is>
          <t>Must Have</t>
        </is>
      </c>
      <c r="F4" s="105" t="n">
        <v>32</v>
      </c>
      <c r="G4" s="125" t="n"/>
      <c r="H4" s="125" t="n"/>
    </row>
    <row r="5" ht="27.75" customHeight="1" s="144">
      <c r="A5" s="126" t="n"/>
      <c r="B5" s="125" t="inlineStr">
        <is>
          <t>Werables</t>
        </is>
      </c>
      <c r="C5" s="125" t="inlineStr">
        <is>
          <t>Terra</t>
        </is>
      </c>
      <c r="D5" s="105" t="inlineStr">
        <is>
          <t>Yes</t>
        </is>
      </c>
      <c r="E5" s="105" t="inlineStr">
        <is>
          <t>Must Have</t>
        </is>
      </c>
      <c r="F5" s="105" t="n">
        <v>60</v>
      </c>
      <c r="G5" s="125" t="n"/>
      <c r="H5" s="125" t="n"/>
    </row>
    <row r="6" ht="27.75" customHeight="1" s="144">
      <c r="A6" s="126" t="n"/>
      <c r="B6" s="125" t="inlineStr">
        <is>
          <t>DEXA</t>
        </is>
      </c>
      <c r="C6" s="125" t="inlineStr">
        <is>
          <t>BodySpec/ Fitnescity</t>
        </is>
      </c>
      <c r="D6" s="105" t="inlineStr">
        <is>
          <t>Yes</t>
        </is>
      </c>
      <c r="E6" s="105" t="inlineStr">
        <is>
          <t>Must Have</t>
        </is>
      </c>
      <c r="F6" s="105" t="n">
        <v>60</v>
      </c>
      <c r="G6" s="125" t="n"/>
      <c r="H6" s="125" t="n"/>
    </row>
    <row r="7" ht="27.75" customHeight="1" s="144">
      <c r="A7" s="126" t="n"/>
      <c r="B7" s="125" t="inlineStr">
        <is>
          <t xml:space="preserve">AI model </t>
        </is>
      </c>
      <c r="C7" s="125" t="inlineStr">
        <is>
          <t>OpenAI / Anthropic</t>
        </is>
      </c>
      <c r="D7" s="105" t="inlineStr">
        <is>
          <t>Yes</t>
        </is>
      </c>
      <c r="E7" s="105" t="inlineStr">
        <is>
          <t>Must Have</t>
        </is>
      </c>
      <c r="F7" s="105" t="n">
        <v>60</v>
      </c>
      <c r="G7" s="125" t="n"/>
      <c r="H7" s="125" t="n"/>
    </row>
    <row r="8" ht="27.75" customHeight="1" s="144">
      <c r="A8" s="126" t="n"/>
      <c r="B8" s="125" t="inlineStr">
        <is>
          <t xml:space="preserve">Payments </t>
        </is>
      </c>
      <c r="C8" s="125" t="inlineStr">
        <is>
          <t>Stripe</t>
        </is>
      </c>
      <c r="D8" s="105" t="inlineStr">
        <is>
          <t>Yes</t>
        </is>
      </c>
      <c r="E8" s="105" t="inlineStr">
        <is>
          <t>Must Have</t>
        </is>
      </c>
      <c r="F8" s="105" t="n">
        <v>32</v>
      </c>
      <c r="G8" s="125" t="n"/>
      <c r="H8" s="125" t="n"/>
    </row>
    <row r="9" ht="27.75" customHeight="1" s="144">
      <c r="A9" s="126" t="n"/>
      <c r="B9" s="125" t="inlineStr">
        <is>
          <t>Labs</t>
        </is>
      </c>
      <c r="C9" s="125" t="inlineStr">
        <is>
          <t>Quest</t>
        </is>
      </c>
      <c r="D9" s="105" t="inlineStr">
        <is>
          <t>Yes</t>
        </is>
      </c>
      <c r="E9" s="105" t="inlineStr">
        <is>
          <t>Must Have</t>
        </is>
      </c>
      <c r="F9" s="105" t="n">
        <v>40</v>
      </c>
      <c r="G9" s="125" t="n"/>
      <c r="H9" s="125" t="n"/>
    </row>
    <row r="10" ht="19.5" customHeight="1" s="144">
      <c r="A10" s="123" t="n"/>
      <c r="B10" s="125" t="inlineStr">
        <is>
          <t>Firebase</t>
        </is>
      </c>
      <c r="C10" s="125" t="inlineStr">
        <is>
          <t>Firebase</t>
        </is>
      </c>
      <c r="D10" s="123" t="n"/>
      <c r="E10" s="123" t="n"/>
      <c r="G10" s="126" t="n">
        <v>12</v>
      </c>
      <c r="H10" s="123" t="n"/>
    </row>
    <row r="11" ht="19.5" customHeight="1" s="144">
      <c r="A11" s="123" t="n"/>
      <c r="B11" s="123" t="n"/>
      <c r="C11" s="123" t="n"/>
      <c r="D11" s="123" t="n"/>
      <c r="E11" s="123" t="n"/>
      <c r="F11" s="123" t="n"/>
      <c r="G11" s="123" t="n"/>
      <c r="H11" s="123" t="n"/>
    </row>
    <row r="12" ht="19.5" customHeight="1" s="144">
      <c r="A12" s="123" t="n"/>
      <c r="B12" s="123" t="n"/>
      <c r="C12" s="123" t="n"/>
      <c r="D12" s="123" t="n"/>
      <c r="E12" s="123" t="n"/>
      <c r="F12" s="123" t="n"/>
      <c r="G12" s="123" t="n"/>
      <c r="H12" s="123" t="n"/>
    </row>
    <row r="13" ht="15.75" customHeight="1" s="144">
      <c r="A13" s="153" t="n"/>
      <c r="B13" s="147" t="n"/>
      <c r="C13" s="108" t="n"/>
      <c r="D13" s="108" t="n"/>
      <c r="E13" s="89" t="n"/>
      <c r="F13" s="89" t="n"/>
      <c r="G13" s="108" t="n"/>
      <c r="H13" s="108" t="n"/>
    </row>
    <row r="14" ht="27.75" customHeight="1" s="144">
      <c r="A14" s="107" t="n"/>
      <c r="B14" s="25" t="n"/>
      <c r="C14" s="25" t="n"/>
      <c r="D14" s="105" t="inlineStr">
        <is>
          <t>Yes</t>
        </is>
      </c>
      <c r="E14" s="139" t="n"/>
      <c r="F14" s="107">
        <f>SUMIFS(F3:F9,D3:D9,D14)</f>
        <v/>
      </c>
      <c r="G14" s="107" t="n"/>
      <c r="H14" s="107" t="n"/>
    </row>
    <row r="15" ht="27.75" customHeight="1" s="144">
      <c r="A15" s="107" t="n"/>
      <c r="B15" s="25" t="n"/>
      <c r="C15" s="25" t="n"/>
      <c r="D15" s="139" t="n"/>
      <c r="E15" s="105" t="inlineStr">
        <is>
          <t>Must Have</t>
        </is>
      </c>
      <c r="F15" s="107">
        <f>SUMIFS(F3:F9,E3:E9,E15)</f>
        <v/>
      </c>
      <c r="G15" s="107" t="n"/>
      <c r="H15" s="107" t="n"/>
    </row>
    <row r="16" ht="27.75" customHeight="1" s="144">
      <c r="A16" s="107" t="n"/>
      <c r="B16" s="25" t="n"/>
      <c r="C16" s="25" t="n"/>
      <c r="D16" s="139" t="n"/>
      <c r="E16" s="105" t="inlineStr">
        <is>
          <t>Could Have</t>
        </is>
      </c>
      <c r="F16" s="107">
        <f>SUMIFS(F3:F10,E3:E10,E16)</f>
        <v/>
      </c>
      <c r="G16" s="107" t="n"/>
      <c r="H16" s="107" t="n"/>
    </row>
    <row r="17" ht="27.75" customHeight="1" s="144">
      <c r="A17" s="107" t="n"/>
      <c r="B17" s="25" t="n"/>
      <c r="C17" s="25" t="n"/>
      <c r="D17" s="139" t="n"/>
      <c r="E17" s="105" t="inlineStr">
        <is>
          <t>Nice To have</t>
        </is>
      </c>
      <c r="F17" s="107">
        <f>SUMIFS(F3:F13,E3:E13,E17)</f>
        <v/>
      </c>
      <c r="G17" s="107" t="n"/>
      <c r="H17" s="107" t="n"/>
    </row>
    <row r="18" ht="15.75" customHeight="1" s="144">
      <c r="A18" s="153" t="n"/>
      <c r="B18" s="147" t="n"/>
      <c r="C18" s="108" t="n"/>
      <c r="D18" s="108" t="n"/>
      <c r="E18" s="89" t="n"/>
      <c r="F18" s="89" t="n"/>
      <c r="G18" s="108" t="n"/>
      <c r="H18" s="108" t="n"/>
    </row>
  </sheetData>
  <mergeCells count="2">
    <mergeCell ref="A18:B18"/>
    <mergeCell ref="A13:B13"/>
  </mergeCells>
  <dataValidations count="2">
    <dataValidation sqref="D3:D9 D14" showDropDown="0" showInputMessage="0" showErrorMessage="1" allowBlank="1" type="list">
      <formula1>"Yes,No"</formula1>
    </dataValidation>
    <dataValidation sqref="E3:E9 E15:E17" showDropDown="0" showInputMessage="0" showErrorMessage="1" allowBlank="1" type="list">
      <formula1>"Must Have,Could Have,Nice To have"</formula1>
    </dataValidation>
  </dataValidations>
  <pageMargins left="0.75" right="0.75" top="1" bottom="1" header="0" footer="0"/>
  <pageSetup orientation="portrait" paperSize="9"/>
</worksheet>
</file>

<file path=xl/worksheets/sheet10.xml><?xml version="1.0" encoding="utf-8"?>
<worksheet xmlns="http://schemas.openxmlformats.org/spreadsheetml/2006/main">
  <sheetPr>
    <outlinePr summaryBelow="0" summaryRight="0"/>
    <pageSetUpPr/>
  </sheetPr>
  <dimension ref="A1:L44"/>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4.43" defaultRowHeight="15" customHeight="1"/>
  <cols>
    <col width="18.43" customWidth="1" style="144" min="1" max="1"/>
    <col width="25.43" customWidth="1" style="144" min="2" max="2"/>
    <col width="22.29" customWidth="1" style="144" min="3" max="4"/>
    <col width="31.14" customWidth="1" style="144" min="5" max="5"/>
    <col width="19" customWidth="1" style="144" min="7" max="7"/>
    <col width="16.86" customWidth="1" style="144" min="8" max="9"/>
  </cols>
  <sheetData>
    <row r="1">
      <c r="A1" s="122" t="inlineStr">
        <is>
          <t>Types</t>
        </is>
      </c>
      <c r="B1" s="122" t="inlineStr">
        <is>
          <t>Resource Type</t>
        </is>
      </c>
      <c r="C1" s="122" t="inlineStr">
        <is>
          <t>Method</t>
        </is>
      </c>
      <c r="D1" s="122" t="inlineStr">
        <is>
          <t>FHIR Resource</t>
        </is>
      </c>
      <c r="E1" s="122" t="inlineStr">
        <is>
          <t>Resource Use</t>
        </is>
      </c>
      <c r="F1" s="122" t="inlineStr">
        <is>
          <t>Required</t>
        </is>
      </c>
      <c r="G1" s="122" t="inlineStr">
        <is>
          <t>Epic</t>
        </is>
      </c>
      <c r="H1" s="122" t="n"/>
      <c r="I1" s="122" t="inlineStr">
        <is>
          <t>Cerner</t>
        </is>
      </c>
      <c r="J1" s="122" t="n"/>
      <c r="K1" s="124" t="inlineStr">
        <is>
          <t>Meditech</t>
        </is>
      </c>
      <c r="L1" s="122" t="n"/>
    </row>
    <row r="2">
      <c r="A2" s="139" t="n"/>
      <c r="B2" s="139" t="n"/>
      <c r="C2" s="133" t="n"/>
      <c r="D2" s="139" t="n"/>
      <c r="E2" s="139" t="n"/>
      <c r="F2" s="139" t="n"/>
      <c r="G2" s="128" t="inlineStr">
        <is>
          <t>API Link</t>
        </is>
      </c>
      <c r="H2" s="133" t="n"/>
      <c r="I2" s="128" t="inlineStr">
        <is>
          <t>API Link</t>
        </is>
      </c>
      <c r="J2" s="133" t="n"/>
      <c r="K2" s="130" t="inlineStr">
        <is>
          <t>API Link</t>
        </is>
      </c>
      <c r="L2" s="133" t="n"/>
    </row>
    <row r="3">
      <c r="A3" s="38" t="inlineStr">
        <is>
          <t>Patient</t>
        </is>
      </c>
      <c r="B3" s="139" t="inlineStr">
        <is>
          <t>Search Patient</t>
        </is>
      </c>
      <c r="C3" s="133" t="inlineStr">
        <is>
          <t>Get</t>
        </is>
      </c>
      <c r="D3" s="139" t="inlineStr">
        <is>
          <t>Patient</t>
        </is>
      </c>
      <c r="E3" s="139" t="inlineStr">
        <is>
          <t>Fetch Filter Patient</t>
        </is>
      </c>
      <c r="F3" s="139" t="n"/>
      <c r="G3" s="133" t="inlineStr">
        <is>
          <t>Yes</t>
        </is>
      </c>
      <c r="H3" s="133" t="n">
        <v>6</v>
      </c>
      <c r="I3" s="133" t="inlineStr">
        <is>
          <t>Yes</t>
        </is>
      </c>
      <c r="J3" s="133" t="n">
        <v>6</v>
      </c>
      <c r="K3" s="134" t="inlineStr">
        <is>
          <t>Yes</t>
        </is>
      </c>
      <c r="L3" s="133" t="n">
        <v>8</v>
      </c>
    </row>
    <row r="4">
      <c r="A4" s="154" t="n"/>
      <c r="B4" s="139" t="inlineStr">
        <is>
          <t>Read Patient</t>
        </is>
      </c>
      <c r="C4" s="133" t="inlineStr">
        <is>
          <t>Get</t>
        </is>
      </c>
      <c r="D4" s="139" t="inlineStr">
        <is>
          <t>Patient</t>
        </is>
      </c>
      <c r="E4" s="139" t="inlineStr">
        <is>
          <t>Read specific patient</t>
        </is>
      </c>
      <c r="F4" s="139" t="n"/>
      <c r="G4" s="133" t="inlineStr">
        <is>
          <t>Yes</t>
        </is>
      </c>
      <c r="H4" s="133" t="n">
        <v>6</v>
      </c>
      <c r="I4" s="133" t="inlineStr">
        <is>
          <t>Yes</t>
        </is>
      </c>
      <c r="J4" s="133" t="n">
        <v>6</v>
      </c>
      <c r="K4" s="134" t="inlineStr">
        <is>
          <t>Yes</t>
        </is>
      </c>
      <c r="L4" s="133" t="n">
        <v>8</v>
      </c>
    </row>
    <row r="5">
      <c r="A5" s="154" t="n"/>
      <c r="B5" s="139" t="inlineStr">
        <is>
          <t>Create Patient</t>
        </is>
      </c>
      <c r="C5" s="133" t="inlineStr">
        <is>
          <t>Post</t>
        </is>
      </c>
      <c r="D5" s="139" t="inlineStr">
        <is>
          <t>Patient</t>
        </is>
      </c>
      <c r="E5" s="139" t="inlineStr">
        <is>
          <t>Create patient</t>
        </is>
      </c>
      <c r="F5" s="139" t="n"/>
      <c r="G5" s="133" t="inlineStr">
        <is>
          <t>Yes</t>
        </is>
      </c>
      <c r="H5" s="133" t="n">
        <v>6</v>
      </c>
      <c r="I5" s="133" t="inlineStr">
        <is>
          <t>Yes</t>
        </is>
      </c>
      <c r="J5" s="133" t="n">
        <v>6</v>
      </c>
      <c r="K5" s="134" t="inlineStr">
        <is>
          <t>No</t>
        </is>
      </c>
      <c r="L5" s="133" t="n"/>
    </row>
    <row r="6">
      <c r="A6" s="154" t="n"/>
      <c r="B6" s="139" t="inlineStr">
        <is>
          <t>Patient Family History</t>
        </is>
      </c>
      <c r="C6" s="133" t="inlineStr">
        <is>
          <t>Get</t>
        </is>
      </c>
      <c r="D6" s="139" t="inlineStr">
        <is>
          <t>FamilyMemberHistory</t>
        </is>
      </c>
      <c r="E6" s="139" t="inlineStr">
        <is>
          <t>Read patient family</t>
        </is>
      </c>
      <c r="F6" s="139" t="n"/>
      <c r="G6" s="133" t="inlineStr">
        <is>
          <t>Yes</t>
        </is>
      </c>
      <c r="H6" s="133" t="n">
        <v>6</v>
      </c>
      <c r="I6" s="133" t="inlineStr">
        <is>
          <t>No</t>
        </is>
      </c>
      <c r="J6" s="133" t="n"/>
      <c r="K6" s="134" t="inlineStr">
        <is>
          <t>No</t>
        </is>
      </c>
      <c r="L6" s="133" t="n"/>
    </row>
    <row r="7">
      <c r="A7" s="155" t="n"/>
      <c r="B7" s="139" t="inlineStr">
        <is>
          <t>Search Patient Consent</t>
        </is>
      </c>
      <c r="C7" s="133" t="inlineStr">
        <is>
          <t>Get</t>
        </is>
      </c>
      <c r="D7" s="139" t="inlineStr">
        <is>
          <t>Patient Consent</t>
        </is>
      </c>
      <c r="E7" s="139" t="inlineStr">
        <is>
          <t>Read patient Consent</t>
        </is>
      </c>
      <c r="F7" s="139" t="n"/>
      <c r="G7" s="133" t="inlineStr">
        <is>
          <t>Yes</t>
        </is>
      </c>
      <c r="H7" s="133" t="n">
        <v>6</v>
      </c>
      <c r="I7" s="133" t="inlineStr">
        <is>
          <t>Yes</t>
        </is>
      </c>
      <c r="J7" s="133" t="n">
        <v>6</v>
      </c>
      <c r="K7" s="134" t="inlineStr">
        <is>
          <t>No</t>
        </is>
      </c>
      <c r="L7" s="133" t="n"/>
    </row>
    <row r="8">
      <c r="A8" s="139" t="n"/>
      <c r="B8" s="139" t="n"/>
      <c r="C8" s="133" t="n"/>
      <c r="D8" s="139" t="n"/>
      <c r="E8" s="139" t="n"/>
      <c r="F8" s="139" t="n"/>
      <c r="G8" s="133" t="n"/>
      <c r="H8" s="133" t="n"/>
      <c r="I8" s="133" t="n"/>
      <c r="J8" s="133" t="n"/>
      <c r="K8" s="139" t="n"/>
      <c r="L8" s="133" t="n"/>
    </row>
    <row r="9">
      <c r="A9" s="38" t="inlineStr">
        <is>
          <t>Clinical Data</t>
        </is>
      </c>
      <c r="B9" s="139" t="inlineStr">
        <is>
          <t>Search Allergy</t>
        </is>
      </c>
      <c r="C9" s="133" t="inlineStr">
        <is>
          <t>Get</t>
        </is>
      </c>
      <c r="D9" s="139" t="inlineStr">
        <is>
          <t>AllergyIntolerance</t>
        </is>
      </c>
      <c r="E9" s="139" t="inlineStr">
        <is>
          <t>Fetch Patient Allergy</t>
        </is>
      </c>
      <c r="F9" s="139" t="n"/>
      <c r="G9" s="133" t="inlineStr">
        <is>
          <t>Yes</t>
        </is>
      </c>
      <c r="H9" s="133" t="n">
        <v>6</v>
      </c>
      <c r="I9" s="133" t="inlineStr">
        <is>
          <t>Yes</t>
        </is>
      </c>
      <c r="J9" s="133" t="n">
        <v>6</v>
      </c>
      <c r="K9" s="134" t="inlineStr">
        <is>
          <t>Yes</t>
        </is>
      </c>
      <c r="L9" s="133" t="n">
        <v>8</v>
      </c>
    </row>
    <row r="10">
      <c r="A10" s="154" t="n"/>
      <c r="B10" s="139" t="inlineStr">
        <is>
          <t>Create Allergy</t>
        </is>
      </c>
      <c r="C10" s="133" t="inlineStr">
        <is>
          <t>Post</t>
        </is>
      </c>
      <c r="D10" s="139" t="inlineStr">
        <is>
          <t>AllergyIntolerance</t>
        </is>
      </c>
      <c r="E10" s="139" t="inlineStr">
        <is>
          <t>Create allergy</t>
        </is>
      </c>
      <c r="F10" s="139" t="n"/>
      <c r="G10" s="133" t="inlineStr">
        <is>
          <t>Yes</t>
        </is>
      </c>
      <c r="H10" s="133" t="n">
        <v>6</v>
      </c>
      <c r="I10" s="133" t="inlineStr">
        <is>
          <t>Yes</t>
        </is>
      </c>
      <c r="J10" s="133" t="n">
        <v>6</v>
      </c>
      <c r="K10" s="134" t="inlineStr">
        <is>
          <t>No</t>
        </is>
      </c>
      <c r="L10" s="133" t="n"/>
    </row>
    <row r="11">
      <c r="A11" s="154" t="n"/>
      <c r="B11" s="139" t="inlineStr">
        <is>
          <t>Search Condition</t>
        </is>
      </c>
      <c r="C11" s="133" t="inlineStr">
        <is>
          <t>Get</t>
        </is>
      </c>
      <c r="D11" s="139" t="inlineStr">
        <is>
          <t>Condition</t>
        </is>
      </c>
      <c r="E11" s="139" t="inlineStr">
        <is>
          <t>Fetch Patient Condition</t>
        </is>
      </c>
      <c r="F11" s="139" t="n"/>
      <c r="G11" s="133" t="inlineStr">
        <is>
          <t>Yes</t>
        </is>
      </c>
      <c r="H11" s="133" t="n">
        <v>6</v>
      </c>
      <c r="I11" s="133" t="inlineStr">
        <is>
          <t>Yes</t>
        </is>
      </c>
      <c r="J11" s="133" t="n">
        <v>6</v>
      </c>
      <c r="K11" s="134" t="inlineStr">
        <is>
          <t>Yes</t>
        </is>
      </c>
      <c r="L11" s="133" t="n">
        <v>8</v>
      </c>
    </row>
    <row r="12">
      <c r="A12" s="154" t="n"/>
      <c r="B12" s="139" t="inlineStr">
        <is>
          <t>Create Condition</t>
        </is>
      </c>
      <c r="C12" s="133" t="inlineStr">
        <is>
          <t>Post</t>
        </is>
      </c>
      <c r="D12" s="139" t="inlineStr">
        <is>
          <t>Condition</t>
        </is>
      </c>
      <c r="E12" s="139" t="inlineStr">
        <is>
          <t>Create Condition</t>
        </is>
      </c>
      <c r="F12" s="139" t="n"/>
      <c r="G12" s="133" t="inlineStr">
        <is>
          <t>Yes</t>
        </is>
      </c>
      <c r="H12" s="133" t="n">
        <v>6</v>
      </c>
      <c r="I12" s="133" t="inlineStr">
        <is>
          <t>Yes</t>
        </is>
      </c>
      <c r="J12" s="133" t="n">
        <v>6</v>
      </c>
      <c r="K12" s="134" t="inlineStr">
        <is>
          <t>No</t>
        </is>
      </c>
      <c r="L12" s="133" t="n"/>
    </row>
    <row r="13">
      <c r="A13" s="154" t="n"/>
      <c r="B13" s="139" t="inlineStr">
        <is>
          <t>Search MedicationRequest</t>
        </is>
      </c>
      <c r="C13" s="133" t="inlineStr">
        <is>
          <t>Get</t>
        </is>
      </c>
      <c r="D13" s="139" t="inlineStr">
        <is>
          <t>MedicationRequest</t>
        </is>
      </c>
      <c r="E13" s="139" t="inlineStr">
        <is>
          <t>Fetch Patient MedicationRequest</t>
        </is>
      </c>
      <c r="F13" s="139" t="n"/>
      <c r="G13" s="133" t="inlineStr">
        <is>
          <t>Yes</t>
        </is>
      </c>
      <c r="H13" s="133" t="n">
        <v>6</v>
      </c>
      <c r="I13" s="133" t="inlineStr">
        <is>
          <t>Yes</t>
        </is>
      </c>
      <c r="J13" s="133" t="n">
        <v>6</v>
      </c>
      <c r="K13" s="134" t="inlineStr">
        <is>
          <t>Yes</t>
        </is>
      </c>
      <c r="L13" s="133" t="n">
        <v>8</v>
      </c>
    </row>
    <row r="14">
      <c r="A14" s="155" t="n"/>
      <c r="B14" s="139" t="inlineStr">
        <is>
          <t>Create MedicationRequest</t>
        </is>
      </c>
      <c r="C14" s="133" t="inlineStr">
        <is>
          <t>Get</t>
        </is>
      </c>
      <c r="D14" s="139" t="inlineStr">
        <is>
          <t>MedicationRequest</t>
        </is>
      </c>
      <c r="E14" s="139" t="inlineStr">
        <is>
          <t>Create MedicationRequest</t>
        </is>
      </c>
      <c r="F14" s="139" t="n"/>
      <c r="G14" s="133" t="inlineStr">
        <is>
          <t>No</t>
        </is>
      </c>
      <c r="H14" s="133" t="n"/>
      <c r="I14" s="133" t="inlineStr">
        <is>
          <t>Yes</t>
        </is>
      </c>
      <c r="J14" s="133" t="n">
        <v>6</v>
      </c>
      <c r="K14" s="134" t="inlineStr">
        <is>
          <t>No</t>
        </is>
      </c>
      <c r="L14" s="133" t="n"/>
    </row>
    <row r="15">
      <c r="A15" s="139" t="n"/>
      <c r="B15" s="139" t="n"/>
      <c r="C15" s="133" t="n"/>
      <c r="D15" s="139" t="n"/>
      <c r="E15" s="139" t="n"/>
      <c r="F15" s="139" t="n"/>
      <c r="G15" s="133" t="n"/>
      <c r="H15" s="133" t="n"/>
      <c r="I15" s="133" t="n"/>
      <c r="J15" s="133" t="n"/>
      <c r="K15" s="139" t="n"/>
      <c r="L15" s="133" t="n"/>
    </row>
    <row r="16">
      <c r="A16" s="139" t="inlineStr">
        <is>
          <t>Vitals</t>
        </is>
      </c>
      <c r="B16" s="139" t="inlineStr">
        <is>
          <t>Search Observation</t>
        </is>
      </c>
      <c r="C16" s="133" t="inlineStr">
        <is>
          <t>Get</t>
        </is>
      </c>
      <c r="D16" s="139" t="inlineStr">
        <is>
          <t>Observation</t>
        </is>
      </c>
      <c r="E16" s="139" t="inlineStr">
        <is>
          <t>Fetch Patient Observation</t>
        </is>
      </c>
      <c r="F16" s="139" t="n"/>
      <c r="G16" s="133" t="inlineStr">
        <is>
          <t>Yes</t>
        </is>
      </c>
      <c r="H16" s="133" t="n">
        <v>6</v>
      </c>
      <c r="I16" s="133" t="inlineStr">
        <is>
          <t>Yes</t>
        </is>
      </c>
      <c r="J16" s="133" t="n">
        <v>6</v>
      </c>
      <c r="K16" s="134" t="inlineStr">
        <is>
          <t>Yes</t>
        </is>
      </c>
      <c r="L16" s="133" t="n">
        <v>8</v>
      </c>
    </row>
    <row r="17">
      <c r="A17" s="155" t="n"/>
      <c r="B17" s="139" t="inlineStr">
        <is>
          <t>Create Observation</t>
        </is>
      </c>
      <c r="C17" s="133" t="inlineStr">
        <is>
          <t>Post</t>
        </is>
      </c>
      <c r="D17" s="139" t="inlineStr">
        <is>
          <t>Observation</t>
        </is>
      </c>
      <c r="E17" s="139" t="inlineStr">
        <is>
          <t>Create Patient Observation</t>
        </is>
      </c>
      <c r="F17" s="139" t="n"/>
      <c r="G17" s="133" t="inlineStr">
        <is>
          <t>Yes</t>
        </is>
      </c>
      <c r="H17" s="133" t="n">
        <v>6</v>
      </c>
      <c r="I17" s="133" t="inlineStr">
        <is>
          <t>Yes</t>
        </is>
      </c>
      <c r="J17" s="133" t="n">
        <v>6</v>
      </c>
      <c r="K17" s="134" t="inlineStr">
        <is>
          <t>No</t>
        </is>
      </c>
      <c r="L17" s="133" t="n"/>
    </row>
    <row r="18">
      <c r="A18" s="139" t="n"/>
      <c r="B18" s="139" t="n"/>
      <c r="C18" s="133" t="n"/>
      <c r="D18" s="139" t="n"/>
      <c r="E18" s="139" t="n"/>
      <c r="F18" s="139" t="n"/>
      <c r="G18" s="133" t="n"/>
      <c r="H18" s="133" t="n"/>
      <c r="I18" s="133" t="n"/>
      <c r="J18" s="133" t="n"/>
      <c r="K18" s="139" t="n"/>
      <c r="L18" s="133" t="n"/>
    </row>
    <row r="19">
      <c r="A19" s="38" t="inlineStr">
        <is>
          <t>Appointment</t>
        </is>
      </c>
      <c r="B19" s="139" t="inlineStr">
        <is>
          <t>Search Patient Appointment</t>
        </is>
      </c>
      <c r="C19" s="133" t="inlineStr">
        <is>
          <t>Post</t>
        </is>
      </c>
      <c r="D19" s="139" t="inlineStr">
        <is>
          <t>Appointment</t>
        </is>
      </c>
      <c r="E19" s="139" t="inlineStr">
        <is>
          <t>Fetch Patient Appointment</t>
        </is>
      </c>
      <c r="F19" s="139" t="n"/>
      <c r="G19" s="133" t="inlineStr">
        <is>
          <t>Yes</t>
        </is>
      </c>
      <c r="H19" s="133" t="n">
        <v>6</v>
      </c>
      <c r="I19" s="133" t="inlineStr">
        <is>
          <t>Yes</t>
        </is>
      </c>
      <c r="J19" s="133" t="n">
        <v>6</v>
      </c>
      <c r="K19" s="134" t="inlineStr">
        <is>
          <t>Yes</t>
        </is>
      </c>
      <c r="L19" s="133" t="n">
        <v>8</v>
      </c>
    </row>
    <row r="20">
      <c r="A20" s="154" t="n"/>
      <c r="B20" s="139" t="inlineStr">
        <is>
          <t>Create Appointment</t>
        </is>
      </c>
      <c r="C20" s="133" t="inlineStr">
        <is>
          <t>Post</t>
        </is>
      </c>
      <c r="D20" s="139" t="inlineStr">
        <is>
          <t>Appointment/$book</t>
        </is>
      </c>
      <c r="E20" s="139" t="inlineStr">
        <is>
          <t>Create Appointment for Patient</t>
        </is>
      </c>
      <c r="F20" s="139" t="n"/>
      <c r="G20" s="133" t="inlineStr">
        <is>
          <t>Yes</t>
        </is>
      </c>
      <c r="H20" s="133" t="n">
        <v>6</v>
      </c>
      <c r="I20" s="133" t="inlineStr">
        <is>
          <t>Yes</t>
        </is>
      </c>
      <c r="J20" s="133" t="n">
        <v>6</v>
      </c>
      <c r="K20" s="134" t="inlineStr">
        <is>
          <t>No</t>
        </is>
      </c>
      <c r="L20" s="133" t="n"/>
    </row>
    <row r="21">
      <c r="A21" s="155" t="n"/>
      <c r="B21" s="139" t="inlineStr">
        <is>
          <t>Search Provider Appointment</t>
        </is>
      </c>
      <c r="C21" s="133" t="inlineStr">
        <is>
          <t>Get</t>
        </is>
      </c>
      <c r="D21" s="139" t="inlineStr">
        <is>
          <t>Appointment</t>
        </is>
      </c>
      <c r="E21" s="139" t="inlineStr">
        <is>
          <t>Fetch Provider Appointment</t>
        </is>
      </c>
      <c r="F21" s="139" t="n"/>
      <c r="G21" s="133" t="inlineStr">
        <is>
          <t>No</t>
        </is>
      </c>
      <c r="H21" s="133" t="n"/>
      <c r="I21" s="133" t="inlineStr">
        <is>
          <t>Yes</t>
        </is>
      </c>
      <c r="J21" s="133" t="n">
        <v>6</v>
      </c>
      <c r="K21" s="134" t="inlineStr">
        <is>
          <t>No</t>
        </is>
      </c>
      <c r="L21" s="133" t="n"/>
    </row>
    <row r="22">
      <c r="A22" s="139" t="n"/>
      <c r="B22" s="139" t="n"/>
      <c r="C22" s="133" t="n"/>
      <c r="D22" s="139" t="n"/>
      <c r="E22" s="139" t="n"/>
      <c r="F22" s="139" t="n"/>
      <c r="G22" s="133" t="n"/>
      <c r="H22" s="133" t="n"/>
      <c r="I22" s="133" t="n"/>
      <c r="J22" s="133" t="n"/>
      <c r="K22" s="139" t="n"/>
      <c r="L22" s="133" t="n"/>
    </row>
    <row r="23">
      <c r="A23" s="38" t="inlineStr">
        <is>
          <t>Availability / Slot</t>
        </is>
      </c>
      <c r="B23" s="139" t="inlineStr">
        <is>
          <t>Search Slot</t>
        </is>
      </c>
      <c r="C23" s="133" t="inlineStr">
        <is>
          <t>Get</t>
        </is>
      </c>
      <c r="D23" s="139" t="inlineStr">
        <is>
          <t>Appointment/$find</t>
        </is>
      </c>
      <c r="E23" s="139" t="inlineStr">
        <is>
          <t>Fetch slot for booking appointment</t>
        </is>
      </c>
      <c r="F23" s="139" t="n"/>
      <c r="G23" s="133" t="inlineStr">
        <is>
          <t>Yes</t>
        </is>
      </c>
      <c r="H23" s="133" t="n">
        <v>6</v>
      </c>
      <c r="I23" s="133" t="inlineStr">
        <is>
          <t>Yes</t>
        </is>
      </c>
      <c r="J23" s="133" t="n">
        <v>6</v>
      </c>
      <c r="K23" s="134" t="inlineStr">
        <is>
          <t>No</t>
        </is>
      </c>
      <c r="L23" s="133" t="n"/>
    </row>
    <row r="24">
      <c r="A24" s="155" t="n"/>
      <c r="B24" s="139" t="inlineStr">
        <is>
          <t>Create Slot</t>
        </is>
      </c>
      <c r="C24" s="133" t="inlineStr">
        <is>
          <t>Post</t>
        </is>
      </c>
      <c r="D24" s="139" t="inlineStr">
        <is>
          <t>Appointment/$find</t>
        </is>
      </c>
      <c r="E24" s="139" t="inlineStr">
        <is>
          <t>Create new slot</t>
        </is>
      </c>
      <c r="F24" s="139" t="n"/>
      <c r="G24" s="133" t="inlineStr">
        <is>
          <t>No</t>
        </is>
      </c>
      <c r="H24" s="133" t="n"/>
      <c r="I24" s="133" t="inlineStr">
        <is>
          <t>No</t>
        </is>
      </c>
      <c r="J24" s="133" t="n"/>
      <c r="K24" s="134" t="inlineStr">
        <is>
          <t>No</t>
        </is>
      </c>
      <c r="L24" s="133" t="n"/>
    </row>
    <row r="25">
      <c r="A25" s="139" t="n"/>
      <c r="B25" s="139" t="n"/>
      <c r="C25" s="133" t="n"/>
      <c r="D25" s="139" t="n"/>
      <c r="E25" s="139" t="n"/>
      <c r="F25" s="139" t="n"/>
      <c r="G25" s="133" t="n"/>
      <c r="H25" s="133" t="n"/>
      <c r="I25" s="133" t="n"/>
      <c r="J25" s="133" t="n"/>
      <c r="K25" s="139" t="n"/>
      <c r="L25" s="133" t="n"/>
    </row>
    <row r="26">
      <c r="A26" s="38" t="inlineStr">
        <is>
          <t>Encounter</t>
        </is>
      </c>
      <c r="B26" s="139" t="inlineStr">
        <is>
          <t>Search Patient Encounter</t>
        </is>
      </c>
      <c r="C26" s="133" t="inlineStr">
        <is>
          <t>Get</t>
        </is>
      </c>
      <c r="D26" s="139" t="inlineStr">
        <is>
          <t>Encounter</t>
        </is>
      </c>
      <c r="E26" s="139" t="inlineStr">
        <is>
          <t>Fetch Patient Encounter</t>
        </is>
      </c>
      <c r="F26" s="139" t="n"/>
      <c r="G26" s="133" t="inlineStr">
        <is>
          <t>Yes</t>
        </is>
      </c>
      <c r="H26" s="133" t="n">
        <v>6</v>
      </c>
      <c r="I26" s="133" t="inlineStr">
        <is>
          <t>Yes</t>
        </is>
      </c>
      <c r="J26" s="133" t="n">
        <v>6</v>
      </c>
      <c r="K26" s="134" t="inlineStr">
        <is>
          <t>Yes</t>
        </is>
      </c>
      <c r="L26" s="133" t="n">
        <v>8</v>
      </c>
    </row>
    <row r="27">
      <c r="A27" s="155" t="n"/>
      <c r="B27" s="139" t="inlineStr">
        <is>
          <t>Create Patient Encounter</t>
        </is>
      </c>
      <c r="C27" s="133" t="inlineStr">
        <is>
          <t>Post</t>
        </is>
      </c>
      <c r="D27" s="139" t="inlineStr">
        <is>
          <t>Encounter</t>
        </is>
      </c>
      <c r="E27" s="139" t="inlineStr">
        <is>
          <t>Create Patient Encounter</t>
        </is>
      </c>
      <c r="F27" s="139" t="n"/>
      <c r="G27" s="133" t="inlineStr">
        <is>
          <t>No</t>
        </is>
      </c>
      <c r="H27" s="133" t="n"/>
      <c r="I27" s="133" t="inlineStr">
        <is>
          <t>Yes</t>
        </is>
      </c>
      <c r="J27" s="133" t="n">
        <v>6</v>
      </c>
      <c r="K27" s="134" t="inlineStr">
        <is>
          <t>No</t>
        </is>
      </c>
      <c r="L27" s="133" t="n"/>
    </row>
    <row r="28">
      <c r="A28" s="139" t="n"/>
      <c r="B28" s="139" t="n"/>
      <c r="C28" s="133" t="n"/>
      <c r="D28" s="139" t="n"/>
      <c r="E28" s="139" t="n"/>
      <c r="F28" s="139" t="n"/>
      <c r="G28" s="133" t="n"/>
      <c r="H28" s="133" t="n"/>
      <c r="I28" s="133" t="n"/>
      <c r="J28" s="133" t="n"/>
      <c r="K28" s="139" t="n"/>
      <c r="L28" s="133" t="n"/>
    </row>
    <row r="29">
      <c r="A29" s="38" t="inlineStr">
        <is>
          <t>SOAP Note 
(Clinical Notes)</t>
        </is>
      </c>
      <c r="B29" s="139" t="inlineStr">
        <is>
          <t>Search Patient SOAP Note</t>
        </is>
      </c>
      <c r="C29" s="133" t="inlineStr">
        <is>
          <t>Get</t>
        </is>
      </c>
      <c r="D29" s="139" t="inlineStr">
        <is>
          <t>DocumentRefernece</t>
        </is>
      </c>
      <c r="E29" s="139" t="inlineStr">
        <is>
          <t>Fetch Patient Clinical Notes</t>
        </is>
      </c>
      <c r="F29" s="139" t="n"/>
      <c r="G29" s="133" t="inlineStr">
        <is>
          <t>Yes</t>
        </is>
      </c>
      <c r="H29" s="133" t="n">
        <v>6</v>
      </c>
      <c r="I29" s="133" t="inlineStr">
        <is>
          <t>Yes</t>
        </is>
      </c>
      <c r="J29" s="133" t="n">
        <v>6</v>
      </c>
      <c r="K29" s="134" t="inlineStr">
        <is>
          <t>Yes</t>
        </is>
      </c>
      <c r="L29" s="133" t="n">
        <v>8</v>
      </c>
    </row>
    <row r="30">
      <c r="A30" s="155" t="n"/>
      <c r="B30" s="139" t="inlineStr">
        <is>
          <t>Create Patient SOAP Note</t>
        </is>
      </c>
      <c r="C30" s="133" t="inlineStr">
        <is>
          <t>Post</t>
        </is>
      </c>
      <c r="D30" s="139" t="inlineStr">
        <is>
          <t>DocumentRefernece</t>
        </is>
      </c>
      <c r="E30" s="139" t="inlineStr">
        <is>
          <t>Create Patient Clinical Notes</t>
        </is>
      </c>
      <c r="F30" s="139" t="n"/>
      <c r="G30" s="133" t="inlineStr">
        <is>
          <t>Yes</t>
        </is>
      </c>
      <c r="H30" s="133" t="n">
        <v>6</v>
      </c>
      <c r="I30" s="133" t="inlineStr">
        <is>
          <t>Yes</t>
        </is>
      </c>
      <c r="J30" s="133" t="n">
        <v>6</v>
      </c>
      <c r="K30" s="134" t="inlineStr">
        <is>
          <t>No</t>
        </is>
      </c>
      <c r="L30" s="133" t="n"/>
    </row>
    <row r="31">
      <c r="A31" s="139" t="n"/>
      <c r="B31" s="139" t="n"/>
      <c r="C31" s="133" t="n"/>
      <c r="D31" s="139" t="n"/>
      <c r="E31" s="139" t="n"/>
      <c r="F31" s="139" t="n"/>
      <c r="G31" s="133" t="n"/>
      <c r="H31" s="133" t="n"/>
      <c r="I31" s="133" t="n"/>
      <c r="J31" s="133" t="n"/>
      <c r="K31" s="139" t="n"/>
      <c r="L31" s="133" t="n"/>
    </row>
    <row r="32">
      <c r="A32" s="38" t="inlineStr">
        <is>
          <t>Insurance</t>
        </is>
      </c>
      <c r="B32" s="139" t="inlineStr">
        <is>
          <t>Search Patient Insurance</t>
        </is>
      </c>
      <c r="C32" s="133" t="inlineStr">
        <is>
          <t>Get</t>
        </is>
      </c>
      <c r="D32" s="139" t="inlineStr">
        <is>
          <t>Coverage</t>
        </is>
      </c>
      <c r="E32" s="139" t="inlineStr">
        <is>
          <t>Fetch Patient Insurance</t>
        </is>
      </c>
      <c r="F32" s="139" t="n"/>
      <c r="G32" s="133" t="inlineStr">
        <is>
          <t>Yes</t>
        </is>
      </c>
      <c r="H32" s="133" t="n">
        <v>6</v>
      </c>
      <c r="I32" s="133" t="inlineStr">
        <is>
          <t>Yes</t>
        </is>
      </c>
      <c r="J32" s="133" t="n">
        <v>6</v>
      </c>
      <c r="K32" s="134" t="inlineStr">
        <is>
          <t>Yes</t>
        </is>
      </c>
      <c r="L32" s="133" t="n">
        <v>8</v>
      </c>
    </row>
    <row r="33">
      <c r="A33" s="155" t="n"/>
      <c r="B33" s="139" t="inlineStr">
        <is>
          <t>Create Patient Insurance</t>
        </is>
      </c>
      <c r="C33" s="133" t="inlineStr">
        <is>
          <t>Post</t>
        </is>
      </c>
      <c r="D33" s="139" t="inlineStr">
        <is>
          <t>Coverage</t>
        </is>
      </c>
      <c r="E33" s="139" t="inlineStr">
        <is>
          <t>Create Patient Insurance</t>
        </is>
      </c>
      <c r="F33" s="139" t="n"/>
      <c r="G33" s="133" t="inlineStr">
        <is>
          <t>No</t>
        </is>
      </c>
      <c r="H33" s="133" t="n"/>
      <c r="I33" s="133" t="inlineStr">
        <is>
          <t>Yes</t>
        </is>
      </c>
      <c r="J33" s="133" t="n">
        <v>6</v>
      </c>
      <c r="K33" s="134" t="inlineStr">
        <is>
          <t>No</t>
        </is>
      </c>
      <c r="L33" s="133" t="n"/>
    </row>
    <row r="34">
      <c r="A34" s="139" t="n"/>
      <c r="B34" s="139" t="n"/>
      <c r="C34" s="133" t="n"/>
      <c r="D34" s="139" t="n"/>
      <c r="E34" s="139" t="n"/>
      <c r="F34" s="139" t="n"/>
      <c r="G34" s="139" t="n"/>
      <c r="H34" s="133" t="n"/>
      <c r="I34" s="139" t="n"/>
      <c r="J34" s="133" t="n"/>
      <c r="K34" s="139" t="n"/>
      <c r="L34" s="133" t="n"/>
    </row>
    <row r="35">
      <c r="A35" s="139" t="inlineStr">
        <is>
          <t>Provider</t>
        </is>
      </c>
      <c r="B35" s="139" t="inlineStr">
        <is>
          <t>Search Provider</t>
        </is>
      </c>
      <c r="C35" s="133" t="inlineStr">
        <is>
          <t>Get</t>
        </is>
      </c>
      <c r="D35" s="139" t="inlineStr">
        <is>
          <t>Practitioner</t>
        </is>
      </c>
      <c r="E35" s="139" t="inlineStr">
        <is>
          <t>Fetch Practitioner by firstName</t>
        </is>
      </c>
      <c r="F35" s="139" t="n"/>
      <c r="G35" s="133" t="inlineStr">
        <is>
          <t>Yes</t>
        </is>
      </c>
      <c r="H35" s="133" t="n">
        <v>6</v>
      </c>
      <c r="I35" s="133" t="inlineStr">
        <is>
          <t>Yes</t>
        </is>
      </c>
      <c r="J35" s="133" t="n">
        <v>6</v>
      </c>
      <c r="K35" s="134" t="inlineStr">
        <is>
          <t>Yes</t>
        </is>
      </c>
      <c r="L35" s="133" t="n">
        <v>8</v>
      </c>
    </row>
    <row r="36">
      <c r="A36" s="139" t="n"/>
      <c r="B36" s="139" t="inlineStr">
        <is>
          <t>Create Provider</t>
        </is>
      </c>
      <c r="C36" s="133" t="inlineStr">
        <is>
          <t>Post</t>
        </is>
      </c>
      <c r="D36" s="139" t="inlineStr">
        <is>
          <t>Practitioner</t>
        </is>
      </c>
      <c r="E36" s="139" t="inlineStr">
        <is>
          <t>Create Practitioner</t>
        </is>
      </c>
      <c r="F36" s="139" t="n"/>
      <c r="G36" s="133" t="inlineStr">
        <is>
          <t>No</t>
        </is>
      </c>
      <c r="H36" s="133" t="n"/>
      <c r="I36" s="133" t="inlineStr">
        <is>
          <t>Yes</t>
        </is>
      </c>
      <c r="J36" s="133" t="n">
        <v>6</v>
      </c>
      <c r="K36" s="134" t="inlineStr">
        <is>
          <t>No</t>
        </is>
      </c>
      <c r="L36" s="133" t="n"/>
    </row>
    <row r="37">
      <c r="A37" s="139" t="n"/>
      <c r="B37" s="139" t="n"/>
      <c r="C37" s="133" t="n"/>
      <c r="D37" s="139" t="n"/>
      <c r="E37" s="139" t="n"/>
      <c r="F37" s="139" t="n"/>
      <c r="G37" s="139" t="n"/>
      <c r="H37" s="133" t="n"/>
      <c r="I37" s="139" t="n"/>
      <c r="J37" s="133" t="n"/>
      <c r="K37" s="139" t="n"/>
      <c r="L37" s="133" t="n"/>
    </row>
    <row r="38">
      <c r="A38" s="139" t="inlineStr">
        <is>
          <t>Location</t>
        </is>
      </c>
      <c r="B38" s="139" t="inlineStr">
        <is>
          <t>Search Location</t>
        </is>
      </c>
      <c r="C38" s="133" t="inlineStr">
        <is>
          <t>Get</t>
        </is>
      </c>
      <c r="D38" s="139" t="inlineStr">
        <is>
          <t>Location</t>
        </is>
      </c>
      <c r="E38" s="139" t="inlineStr">
        <is>
          <t>Fetch Location</t>
        </is>
      </c>
      <c r="F38" s="139" t="n"/>
      <c r="G38" s="133" t="inlineStr">
        <is>
          <t>Yes</t>
        </is>
      </c>
      <c r="H38" s="133" t="n">
        <v>6</v>
      </c>
      <c r="I38" s="133" t="inlineStr">
        <is>
          <t>Yes</t>
        </is>
      </c>
      <c r="J38" s="133" t="n">
        <v>6</v>
      </c>
      <c r="K38" s="134" t="inlineStr">
        <is>
          <t>Yes</t>
        </is>
      </c>
      <c r="L38" s="133" t="n">
        <v>8</v>
      </c>
    </row>
    <row r="39">
      <c r="A39" s="139" t="n"/>
      <c r="B39" s="139" t="inlineStr">
        <is>
          <t>Create Location</t>
        </is>
      </c>
      <c r="C39" s="133" t="inlineStr">
        <is>
          <t>Post</t>
        </is>
      </c>
      <c r="D39" s="139" t="inlineStr">
        <is>
          <t>Location</t>
        </is>
      </c>
      <c r="E39" s="139" t="inlineStr">
        <is>
          <t>Create Location</t>
        </is>
      </c>
      <c r="F39" s="139" t="n"/>
      <c r="G39" s="133" t="inlineStr">
        <is>
          <t>No</t>
        </is>
      </c>
      <c r="H39" s="133" t="n"/>
      <c r="I39" s="133" t="inlineStr">
        <is>
          <t>No</t>
        </is>
      </c>
      <c r="J39" s="133" t="n"/>
      <c r="K39" s="134" t="inlineStr">
        <is>
          <t>No</t>
        </is>
      </c>
      <c r="L39" s="133" t="n"/>
    </row>
    <row r="40">
      <c r="A40" s="139" t="n"/>
      <c r="B40" s="139" t="n"/>
      <c r="C40" s="133" t="n"/>
      <c r="D40" s="139" t="n"/>
      <c r="E40" s="139" t="n"/>
      <c r="F40" s="139" t="n"/>
      <c r="G40" s="139" t="n"/>
      <c r="H40" s="133" t="n"/>
      <c r="I40" s="139" t="n"/>
      <c r="J40" s="133" t="n"/>
      <c r="K40" s="139" t="n"/>
      <c r="L40" s="133" t="n"/>
    </row>
    <row r="41">
      <c r="A41" s="156" t="inlineStr">
        <is>
          <t>Please note that the bulk API takes 30 to 40 minutes on production to return the requested resource response results.</t>
        </is>
      </c>
      <c r="B41" s="146" t="n"/>
      <c r="C41" s="146" t="n"/>
      <c r="D41" s="146" t="n"/>
      <c r="E41" s="147" t="n"/>
      <c r="F41" s="139" t="n"/>
      <c r="G41" s="139" t="n"/>
      <c r="H41" s="133" t="n"/>
      <c r="I41" s="139" t="n"/>
      <c r="J41" s="133" t="n"/>
      <c r="K41" s="139" t="n"/>
      <c r="L41" s="133" t="n"/>
    </row>
    <row r="42">
      <c r="A42" s="139" t="inlineStr">
        <is>
          <t>Bulk Resource</t>
        </is>
      </c>
      <c r="B42" s="141" t="inlineStr">
        <is>
          <t>Fetch Bulk Resource using Group Id</t>
        </is>
      </c>
      <c r="C42" s="133" t="inlineStr">
        <is>
          <t>Get</t>
        </is>
      </c>
      <c r="D42" s="139" t="inlineStr">
        <is>
          <t>BulkRequest</t>
        </is>
      </c>
      <c r="E42" s="139" t="inlineStr">
        <is>
          <t>Fetch Bulk resource using group Id</t>
        </is>
      </c>
      <c r="F42" s="139" t="n"/>
      <c r="G42" s="133" t="inlineStr">
        <is>
          <t>Yes</t>
        </is>
      </c>
      <c r="H42" s="133" t="n">
        <v>6</v>
      </c>
      <c r="I42" s="134" t="inlineStr">
        <is>
          <t>Yes</t>
        </is>
      </c>
      <c r="J42" s="133" t="n"/>
      <c r="K42" s="139" t="n"/>
      <c r="L42" s="133" t="n"/>
    </row>
    <row r="43">
      <c r="A43" s="139" t="n"/>
      <c r="B43" s="139" t="n"/>
      <c r="C43" s="133" t="n"/>
      <c r="D43" s="139" t="n"/>
      <c r="E43" s="139" t="n"/>
      <c r="F43" s="139" t="n"/>
      <c r="G43" s="139" t="n"/>
      <c r="H43" s="133">
        <f>SUM(H2:H42)</f>
        <v/>
      </c>
      <c r="I43" s="139" t="n"/>
      <c r="J43" s="133">
        <f>SUM(J2:J42)</f>
        <v/>
      </c>
      <c r="K43" s="139" t="n"/>
      <c r="L43" s="133">
        <f>SUM(L2:L42)</f>
        <v/>
      </c>
    </row>
    <row r="44">
      <c r="C44" s="143" t="n"/>
      <c r="H44" s="143" t="n"/>
      <c r="J44" s="143" t="n"/>
      <c r="L44" s="143" t="n"/>
    </row>
  </sheetData>
  <mergeCells count="9">
    <mergeCell ref="A32:A33"/>
    <mergeCell ref="A9:A14"/>
    <mergeCell ref="A26:A27"/>
    <mergeCell ref="A41:E41"/>
    <mergeCell ref="A19:A21"/>
    <mergeCell ref="A29:A30"/>
    <mergeCell ref="A23:A24"/>
    <mergeCell ref="A3:A7"/>
    <mergeCell ref="A16:A17"/>
  </mergeCells>
  <dataValidations count="2">
    <dataValidation sqref="G3:G7 G9:G14 G16:G17 G19:G21 G23:G24 G26:G27 G29:G30 G32:G33 G35:G36 G38:G39 G42 I3:I7 I9:I14 I16:I17 I19:I21 I23:I24 I26:I27 I29:I30 I32:I33 I35:I36 I38:I39 I42 K3:K7 K9:K14 K16:K17 K19:K21 K23:K24 K26:K27 K29:K30 K32:K33 K35:K36 K38:K39" showDropDown="0" showInputMessage="0" showErrorMessage="1" allowBlank="1" type="list">
      <formula1>"Yes,No,N/A"</formula1>
    </dataValidation>
    <dataValidation sqref="C3:C7 C9:C14 C16:C17 C19:C21 C23:C24 C26:C27 C29:C30 C32:C33 C35:C36 C38:C39 C42" showDropDown="0" showInputMessage="0" showErrorMessage="1" allowBlank="1" type="list">
      <formula1>"Get,Post"</formula1>
    </dataValidation>
  </dataValidations>
  <hyperlinks>
    <hyperlink xmlns:r="http://schemas.openxmlformats.org/officeDocument/2006/relationships" ref="G2" r:id="rId1"/>
    <hyperlink xmlns:r="http://schemas.openxmlformats.org/officeDocument/2006/relationships" ref="I2" r:id="rId2"/>
    <hyperlink xmlns:r="http://schemas.openxmlformats.org/officeDocument/2006/relationships" ref="K2"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2026-10-30T14:16:27Z</dcterms:created>
  <dcterms:modified xsi:type="dcterms:W3CDTF">2026-10-30T14:19:54Z</dcterms:modified>
</cp:coreProperties>
</file>